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093B9D25-151B-49D6-9997-C1349C3DFEE5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<sst xmlns="http://schemas.openxmlformats.org/spreadsheetml/2006/main" count="305" uniqueCount="232">
  <si>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</si>
  <si>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</si>
  <si>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</si>
  <si>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</si>
  <si>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</si>
  <si>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</si>
  <si>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</si>
  <si>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</si>
  <si>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</si>
  <si>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</si>
  <si>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</si>
  <si>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</si>
  <si>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</si>
  <si>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</si>
  <si>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</si>
  <si>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</si>
  <si>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</si>
  <si>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</si>
  <si>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</si>
  <si>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</si>
  <si>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</si>
  <si>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</si>
  <si>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</si>
  <si>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</si>
  <si>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</si>
  <si>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</si>
  <si>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</si>
  <si>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</si>
  <si>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</si>
  <si>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</si>
  <si>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</si>
  <si>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</si>
  <si>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</si>
  <si>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</si>
  <si>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</si>
  <si>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</si>
  <si>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</si>
  <si>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</si>
  <si>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</si>
  <si>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</si>
  <si>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</si>
  <si>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</si>
  <si>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</si>
  <si>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</si>
  <si>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</si>
  <si>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</si>
  <si>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</si>
  <si>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</si>
  <si>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</si>
  <si>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</si>
  <si>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</si>
  <si>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</si>
  <si>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</si>
  <si>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</si>
  <si>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</si>
  <si>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</si>
  <si>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</si>
  <si>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</si>
  <si>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</si>
  <si>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</si>
  <si>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</si>
  <si>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</si>
  <si>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</si>
  <si>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</si>
  <si>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</si>
  <si>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</si>
  <si>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</si>
  <si>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</si>
  <si>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</si>
  <si>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</si>
  <si>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</si>
  <si>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</si>
  <si>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</si>
  <si>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</si>
  <si>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</si>
  <si>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</si>
  <si>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</si>
  <si>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</si>
  <si>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</si>
  <si>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</si>
  <si>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</si>
  <si>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</si>
  <si>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</si>
  <si>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</si>
  <si>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</si>
  <si>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</si>
  <si>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</si>
  <si>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</si>
  <si>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</si>
  <si>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</si>
  <si>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</si>
  <si>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</si>
  <si>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</si>
  <si>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</si>
  <si>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</si>
  <si>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</si>
  <si>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</si>
  <si>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</si>
  <si>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</si>
  <si>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</si>
  <si>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</si>
  <si>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</si>
  <si>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</si>
  <si>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</si>
  <si>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</si>
  <si>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</si>
  <si>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</si>
  <si>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</si>
  <si>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</si>
  <si>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</si>
  <si>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</si>
  <si>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</si>
  <si>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</si>
  <si>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</si>
  <si>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</si>
  <si>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</si>
  <si>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</si>
  <si>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</si>
  <si>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</si>
  <si>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</si>
  <si>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</si>
  <si>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</si>
  <si>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</si>
  <si>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</si>
  <si>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</si>
  <si>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</si>
  <si>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</si>
  <si>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</si>
  <si>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</si>
  <si>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</si>
  <si>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</si>
  <si>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</si>
  <si>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</si>
  <si>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</si>
  <si>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</si>
  <si>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</si>
  <si>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</si>
  <si>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</si>
  <si>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</si>
  <si>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</si>
  <si>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</si>
  <si>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</si>
  <si>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</si>
  <si>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</si>
  <si>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</si>
  <si>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</si>
  <si>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</si>
  <si>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</si>
  <si>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</si>
  <si>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</si>
  <si>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</si>
  <si>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</si>
  <si>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</si>
  <si>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</si>
  <si>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</si>
  <si>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</si>
  <si>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</si>
  <si>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</si>
  <si>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</si>
  <si>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</si>
  <si>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</si>
  <si>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</si>
  <si>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</si>
  <si>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</si>
  <si>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</si>
  <si>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</si>
  <si>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</si>
  <si>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</si>
  <si>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</si>
  <si>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</si>
  <si>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</si>
  <si>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</si>
  <si>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</si>
  <si>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</si>
  <si>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</si>
  <si>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</si>
  <si>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</si>
  <si>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</si>
  <si>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</si>
  <si>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</si>
  <si>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</si>
  <si>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</si>
  <si>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</si>
  <si>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</si>
  <si>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</si>
  <si>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</si>
  <si>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</si>
  <si>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</si>
  <si>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</si>
  <si>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</si>
  <si>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</si>
  <si>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</si>
  <si>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</si>
  <si>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</si>
  <si>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</si>
  <si>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</si>
  <si>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</si>
  <si>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</si>
  <si>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</si>
  <si>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</si>
  <si>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</si>
  <si>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</si>
  <si>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</si>
  <si>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</si>
  <si>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</si>
  <si>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</si>
  <si>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</si>
  <si>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</si>
  <si>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</si>
  <si>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</si>
  <si>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</si>
  <si>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</si>
  <si>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</si>
  <si>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</si>
  <si>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</si>
  <si>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</si>
  <si>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</si>
  <si>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</si>
  <si>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</si>
  <si>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</si>
  <si>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</si>
  <si>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</si>
  <si>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</si>
  <si>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</si>
  <si>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</si>
  <si>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</si>
  <si>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</si>
  <si>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</si>
  <si>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</si>
  <si>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SIN PARO</t>
  </si>
  <si>
    <t>9117P004</t>
  </si>
  <si>
    <t>7653P004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</si>
</sst>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1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5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4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14" fontId="0" fillId="0" borderId="0" xfId="0" applyNumberFormat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workbookViewId="0">
      <selection activeCell="F5" sqref="F5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1" t="s">
        <v>13</v>
      </c>
      <c r="C1" s="21" t="s">
        <v>14</v>
      </c>
      <c r="E1" s="23" t="s">
        <v>201</v>
      </c>
      <c r="F1" s="24" t="s">
        <v>202</v>
      </c>
      <c r="G1" s="10"/>
      <c r="H1" s="60" t="s">
        <v>30</v>
      </c>
      <c r="J1" s="63" t="s">
        <v>31</v>
      </c>
      <c r="K1" s="63"/>
    </row>
    <row r="2" spans="1:11" x14ac:dyDescent="0.25">
      <c r="A2" s="20" t="s">
        <v>220</v>
      </c>
      <c r="C2" s="20" t="s">
        <v>16</v>
      </c>
      <c r="E2" s="22">
        <v>999</v>
      </c>
      <c r="F2" s="20" t="s">
        <v>219</v>
      </c>
      <c r="H2" s="46">
        <v>6510374</v>
      </c>
      <c r="I2" t="s">
        <v>195</v>
      </c>
      <c r="J2" s="22">
        <v>1</v>
      </c>
      <c r="K2" s="20" t="s">
        <v>192</v>
      </c>
    </row>
    <row r="3" spans="1:11" x14ac:dyDescent="0.25">
      <c r="A3" s="20" t="s">
        <v>15</v>
      </c>
      <c r="C3" s="20" t="s">
        <v>17</v>
      </c>
      <c r="E3" s="22">
        <v>1</v>
      </c>
      <c r="F3" s="20" t="s">
        <v>32</v>
      </c>
      <c r="H3" s="46">
        <v>1004109</v>
      </c>
      <c r="J3" s="22">
        <v>2</v>
      </c>
      <c r="K3" s="20" t="s">
        <v>203</v>
      </c>
    </row>
    <row r="4" spans="1:11" x14ac:dyDescent="0.25">
      <c r="A4" s="20" t="s">
        <v>200</v>
      </c>
      <c r="C4" s="20" t="s">
        <v>19</v>
      </c>
      <c r="E4" s="22">
        <v>2</v>
      </c>
      <c r="F4" s="20" t="s">
        <v>33</v>
      </c>
      <c r="H4" s="46">
        <v>1004110</v>
      </c>
      <c r="J4" s="22">
        <v>3</v>
      </c>
      <c r="K4" s="20" t="s">
        <v>204</v>
      </c>
    </row>
    <row r="5" spans="1:11" x14ac:dyDescent="0.25">
      <c r="A5" s="42" t="s">
        <v>221</v>
      </c>
      <c r="C5" s="20" t="s">
        <v>18</v>
      </c>
      <c r="E5" s="22">
        <v>3</v>
      </c>
      <c r="F5" s="20" t="s">
        <v>34</v>
      </c>
      <c r="H5" s="46">
        <v>1004111</v>
      </c>
      <c r="J5" s="22">
        <v>4</v>
      </c>
      <c r="K5" s="20" t="s">
        <v>193</v>
      </c>
    </row>
    <row r="6" spans="1:11" x14ac:dyDescent="0.25">
      <c r="A6" s="42" t="s">
        <v>223</v>
      </c>
      <c r="C6" s="20" t="s">
        <v>20</v>
      </c>
      <c r="E6" s="22">
        <v>4</v>
      </c>
      <c r="F6" s="20" t="s">
        <v>35</v>
      </c>
      <c r="H6" s="46">
        <v>1006093</v>
      </c>
    </row>
    <row r="7" spans="1:11" x14ac:dyDescent="0.25">
      <c r="A7" s="42" t="s">
        <v>228</v>
      </c>
      <c r="C7" s="20" t="s">
        <v>21</v>
      </c>
      <c r="E7" s="22">
        <v>5</v>
      </c>
      <c r="F7" s="20" t="s">
        <v>36</v>
      </c>
      <c r="H7" s="46">
        <v>1006094</v>
      </c>
    </row>
    <row r="8" spans="1:11" x14ac:dyDescent="0.25">
      <c r="E8" s="22">
        <v>6</v>
      </c>
      <c r="F8" s="20" t="s">
        <v>37</v>
      </c>
      <c r="H8" s="46">
        <v>1007185</v>
      </c>
    </row>
    <row r="9" spans="1:11" x14ac:dyDescent="0.25">
      <c r="E9" s="22">
        <v>7</v>
      </c>
      <c r="F9" s="20" t="s">
        <v>38</v>
      </c>
      <c r="H9" s="46">
        <v>1007186</v>
      </c>
    </row>
    <row r="10" spans="1:11" x14ac:dyDescent="0.25">
      <c r="E10" s="22">
        <v>8</v>
      </c>
      <c r="F10" s="20" t="s">
        <v>39</v>
      </c>
      <c r="H10" s="46">
        <v>1007187</v>
      </c>
    </row>
    <row r="11" spans="1:11" x14ac:dyDescent="0.25">
      <c r="E11" s="22">
        <v>9</v>
      </c>
      <c r="F11" s="20" t="s">
        <v>40</v>
      </c>
      <c r="H11" s="46">
        <v>1003001</v>
      </c>
    </row>
    <row r="12" spans="1:11" x14ac:dyDescent="0.25">
      <c r="E12" s="22">
        <v>10</v>
      </c>
      <c r="F12" s="20" t="s">
        <v>41</v>
      </c>
      <c r="H12" s="46">
        <v>1003002</v>
      </c>
    </row>
    <row r="13" spans="1:11" x14ac:dyDescent="0.25">
      <c r="E13" s="22">
        <v>11</v>
      </c>
      <c r="F13" s="20" t="s">
        <v>42</v>
      </c>
      <c r="H13" s="46">
        <v>1003003</v>
      </c>
    </row>
    <row r="14" spans="1:11" x14ac:dyDescent="0.25">
      <c r="E14" s="22">
        <v>12</v>
      </c>
      <c r="F14" s="20" t="s">
        <v>43</v>
      </c>
      <c r="H14" s="46">
        <v>1003004</v>
      </c>
    </row>
    <row r="15" spans="1:11" x14ac:dyDescent="0.25">
      <c r="E15" s="22">
        <v>13</v>
      </c>
      <c r="F15" s="20" t="s">
        <v>44</v>
      </c>
      <c r="H15" s="61">
        <v>1007974</v>
      </c>
    </row>
    <row r="16" spans="1:11" x14ac:dyDescent="0.25">
      <c r="E16" s="22">
        <v>14</v>
      </c>
      <c r="F16" s="20" t="s">
        <v>45</v>
      </c>
      <c r="H16" s="61">
        <v>1007186</v>
      </c>
    </row>
    <row r="17" spans="5:8" x14ac:dyDescent="0.25">
      <c r="E17" s="22">
        <v>15</v>
      </c>
      <c r="F17" s="20" t="s">
        <v>46</v>
      </c>
      <c r="H17" s="61">
        <v>1007974</v>
      </c>
    </row>
    <row r="18" spans="5:8" x14ac:dyDescent="0.25">
      <c r="E18" s="22">
        <v>16</v>
      </c>
      <c r="F18" s="20" t="s">
        <v>47</v>
      </c>
      <c r="H18" s="61">
        <v>1007975</v>
      </c>
    </row>
    <row r="19" spans="5:8" x14ac:dyDescent="0.25">
      <c r="E19" s="22">
        <v>17</v>
      </c>
      <c r="F19" s="20" t="s">
        <v>48</v>
      </c>
      <c r="H19" s="61">
        <v>1007976</v>
      </c>
    </row>
    <row r="20" spans="5:8" x14ac:dyDescent="0.25">
      <c r="E20" s="22">
        <v>18</v>
      </c>
      <c r="F20" s="20" t="s">
        <v>49</v>
      </c>
      <c r="H20" s="61">
        <v>1007977</v>
      </c>
    </row>
    <row r="21" spans="5:8" x14ac:dyDescent="0.25">
      <c r="E21" s="22">
        <v>19</v>
      </c>
      <c r="F21" s="20" t="s">
        <v>50</v>
      </c>
      <c r="H21" t="s">
        <v>230</v>
      </c>
    </row>
    <row r="22" spans="5:8" x14ac:dyDescent="0.25">
      <c r="E22" s="22">
        <v>20</v>
      </c>
      <c r="F22" s="20" t="s">
        <v>51</v>
      </c>
      <c r="H22" t="s">
        <v>231</v>
      </c>
    </row>
    <row r="23" spans="5:8" x14ac:dyDescent="0.25">
      <c r="E23" s="22">
        <v>21</v>
      </c>
      <c r="F23" s="20" t="s">
        <v>52</v>
      </c>
      <c r="H23">
        <v>1004525</v>
      </c>
    </row>
    <row r="24" spans="5:8" x14ac:dyDescent="0.25">
      <c r="E24" s="22">
        <v>22</v>
      </c>
      <c r="F24" s="20" t="s">
        <v>53</v>
      </c>
    </row>
    <row r="25" spans="5:8" x14ac:dyDescent="0.25">
      <c r="E25" s="22">
        <v>23</v>
      </c>
      <c r="F25" s="20" t="s">
        <v>54</v>
      </c>
    </row>
    <row r="26" spans="5:8" x14ac:dyDescent="0.25">
      <c r="E26" s="22">
        <v>24</v>
      </c>
      <c r="F26" s="20" t="s">
        <v>55</v>
      </c>
    </row>
    <row r="27" spans="5:8" x14ac:dyDescent="0.25">
      <c r="E27" s="22">
        <v>25</v>
      </c>
      <c r="F27" s="20" t="s">
        <v>56</v>
      </c>
    </row>
    <row r="28" spans="5:8" x14ac:dyDescent="0.25">
      <c r="E28" s="22">
        <v>26</v>
      </c>
      <c r="F28" s="20" t="s">
        <v>57</v>
      </c>
    </row>
    <row r="29" spans="5:8" x14ac:dyDescent="0.25">
      <c r="E29" s="22">
        <v>27</v>
      </c>
      <c r="F29" s="20" t="s">
        <v>58</v>
      </c>
    </row>
    <row r="30" spans="5:8" x14ac:dyDescent="0.25">
      <c r="E30" s="22">
        <v>28</v>
      </c>
      <c r="F30" s="20" t="s">
        <v>59</v>
      </c>
    </row>
    <row r="31" spans="5:8" x14ac:dyDescent="0.25">
      <c r="E31" s="22">
        <v>29</v>
      </c>
      <c r="F31" s="20" t="s">
        <v>60</v>
      </c>
    </row>
    <row r="32" spans="5:8" x14ac:dyDescent="0.25">
      <c r="E32" s="22">
        <v>30</v>
      </c>
      <c r="F32" s="20" t="s">
        <v>61</v>
      </c>
    </row>
    <row r="33" spans="5:6" x14ac:dyDescent="0.25">
      <c r="E33" s="22">
        <v>31</v>
      </c>
      <c r="F33" s="20" t="s">
        <v>62</v>
      </c>
    </row>
    <row r="34" spans="5:6" x14ac:dyDescent="0.25">
      <c r="E34" s="22">
        <v>32</v>
      </c>
      <c r="F34" s="20" t="s">
        <v>63</v>
      </c>
    </row>
    <row r="35" spans="5:6" x14ac:dyDescent="0.25">
      <c r="E35" s="22">
        <v>33</v>
      </c>
      <c r="F35" s="20" t="s">
        <v>64</v>
      </c>
    </row>
    <row r="36" spans="5:6" x14ac:dyDescent="0.25">
      <c r="E36" s="22">
        <v>34</v>
      </c>
      <c r="F36" s="20" t="s">
        <v>65</v>
      </c>
    </row>
    <row r="37" spans="5:6" x14ac:dyDescent="0.25">
      <c r="E37" s="22">
        <v>35</v>
      </c>
      <c r="F37" s="20" t="s">
        <v>66</v>
      </c>
    </row>
    <row r="38" spans="5:6" x14ac:dyDescent="0.25">
      <c r="E38" s="22">
        <v>36</v>
      </c>
      <c r="F38" s="20" t="s">
        <v>67</v>
      </c>
    </row>
    <row r="39" spans="5:6" x14ac:dyDescent="0.25">
      <c r="E39" s="22">
        <v>37</v>
      </c>
      <c r="F39" s="20" t="s">
        <v>68</v>
      </c>
    </row>
    <row r="40" spans="5:6" x14ac:dyDescent="0.25">
      <c r="E40" s="22">
        <v>38</v>
      </c>
      <c r="F40" s="20" t="s">
        <v>69</v>
      </c>
    </row>
    <row r="41" spans="5:6" x14ac:dyDescent="0.25">
      <c r="E41" s="22">
        <v>39</v>
      </c>
      <c r="F41" s="20" t="s">
        <v>70</v>
      </c>
    </row>
    <row r="42" spans="5:6" x14ac:dyDescent="0.25">
      <c r="E42" s="22">
        <v>40</v>
      </c>
      <c r="F42" s="20" t="s">
        <v>71</v>
      </c>
    </row>
    <row r="43" spans="5:6" x14ac:dyDescent="0.25">
      <c r="E43" s="22">
        <v>41</v>
      </c>
      <c r="F43" s="20" t="s">
        <v>72</v>
      </c>
    </row>
    <row r="44" spans="5:6" x14ac:dyDescent="0.25">
      <c r="E44" s="22">
        <v>42</v>
      </c>
      <c r="F44" s="20" t="s">
        <v>73</v>
      </c>
    </row>
    <row r="45" spans="5:6" x14ac:dyDescent="0.25">
      <c r="E45" s="22">
        <v>43</v>
      </c>
      <c r="F45" s="20" t="s">
        <v>74</v>
      </c>
    </row>
    <row r="46" spans="5:6" x14ac:dyDescent="0.25">
      <c r="E46" s="22">
        <v>44</v>
      </c>
      <c r="F46" s="20" t="s">
        <v>75</v>
      </c>
    </row>
    <row r="47" spans="5:6" x14ac:dyDescent="0.25">
      <c r="E47" s="22">
        <v>45</v>
      </c>
      <c r="F47" s="20" t="s">
        <v>76</v>
      </c>
    </row>
    <row r="48" spans="5:6" x14ac:dyDescent="0.25">
      <c r="E48" s="22">
        <v>46</v>
      </c>
      <c r="F48" s="20" t="s">
        <v>77</v>
      </c>
    </row>
    <row r="49" spans="5:6" x14ac:dyDescent="0.25">
      <c r="E49" s="22">
        <v>47</v>
      </c>
      <c r="F49" s="20" t="s">
        <v>78</v>
      </c>
    </row>
    <row r="50" spans="5:6" x14ac:dyDescent="0.25">
      <c r="E50" s="22">
        <v>48</v>
      </c>
      <c r="F50" s="20" t="s">
        <v>79</v>
      </c>
    </row>
    <row r="51" spans="5:6" x14ac:dyDescent="0.25">
      <c r="E51" s="22">
        <v>49</v>
      </c>
      <c r="F51" s="20" t="s">
        <v>80</v>
      </c>
    </row>
    <row r="52" spans="5:6" x14ac:dyDescent="0.25">
      <c r="E52" s="22">
        <v>50</v>
      </c>
      <c r="F52" s="20" t="s">
        <v>81</v>
      </c>
    </row>
    <row r="53" spans="5:6" x14ac:dyDescent="0.25">
      <c r="E53" s="22">
        <v>51</v>
      </c>
      <c r="F53" s="20" t="s">
        <v>82</v>
      </c>
    </row>
    <row r="54" spans="5:6" x14ac:dyDescent="0.25">
      <c r="E54" s="22">
        <v>52</v>
      </c>
      <c r="F54" s="20" t="s">
        <v>83</v>
      </c>
    </row>
    <row r="55" spans="5:6" x14ac:dyDescent="0.25">
      <c r="E55" s="22">
        <v>53</v>
      </c>
      <c r="F55" s="20" t="s">
        <v>84</v>
      </c>
    </row>
    <row r="56" spans="5:6" x14ac:dyDescent="0.25">
      <c r="E56" s="22">
        <v>54</v>
      </c>
      <c r="F56" s="20" t="s">
        <v>85</v>
      </c>
    </row>
    <row r="57" spans="5:6" x14ac:dyDescent="0.25">
      <c r="E57" s="22">
        <v>55</v>
      </c>
      <c r="F57" s="20" t="s">
        <v>86</v>
      </c>
    </row>
    <row r="58" spans="5:6" x14ac:dyDescent="0.25">
      <c r="E58" s="22">
        <v>56</v>
      </c>
      <c r="F58" s="20" t="s">
        <v>87</v>
      </c>
    </row>
    <row r="59" spans="5:6" x14ac:dyDescent="0.25">
      <c r="E59" s="22">
        <v>57</v>
      </c>
      <c r="F59" s="20" t="s">
        <v>88</v>
      </c>
    </row>
    <row r="60" spans="5:6" x14ac:dyDescent="0.25">
      <c r="E60" s="22">
        <v>58</v>
      </c>
      <c r="F60" s="20" t="s">
        <v>89</v>
      </c>
    </row>
    <row r="61" spans="5:6" x14ac:dyDescent="0.25">
      <c r="E61" s="22">
        <v>59</v>
      </c>
      <c r="F61" s="20" t="s">
        <v>90</v>
      </c>
    </row>
    <row r="62" spans="5:6" x14ac:dyDescent="0.25">
      <c r="E62" s="22">
        <v>60</v>
      </c>
      <c r="F62" s="20" t="s">
        <v>91</v>
      </c>
    </row>
    <row r="63" spans="5:6" x14ac:dyDescent="0.25">
      <c r="E63" s="22">
        <v>61</v>
      </c>
      <c r="F63" s="20" t="s">
        <v>92</v>
      </c>
    </row>
    <row r="64" spans="5:6" x14ac:dyDescent="0.25">
      <c r="E64" s="22">
        <v>62</v>
      </c>
      <c r="F64" s="20" t="s">
        <v>93</v>
      </c>
    </row>
    <row r="65" spans="5:6" x14ac:dyDescent="0.25">
      <c r="E65" s="22">
        <v>63</v>
      </c>
      <c r="F65" s="20" t="s">
        <v>94</v>
      </c>
    </row>
    <row r="66" spans="5:6" x14ac:dyDescent="0.25">
      <c r="E66" s="22">
        <v>64</v>
      </c>
      <c r="F66" s="20" t="s">
        <v>95</v>
      </c>
    </row>
    <row r="67" spans="5:6" x14ac:dyDescent="0.25">
      <c r="E67" s="22">
        <v>65</v>
      </c>
      <c r="F67" s="20" t="s">
        <v>96</v>
      </c>
    </row>
    <row r="68" spans="5:6" x14ac:dyDescent="0.25">
      <c r="E68" s="22">
        <v>66</v>
      </c>
      <c r="F68" s="20" t="s">
        <v>97</v>
      </c>
    </row>
    <row r="69" spans="5:6" x14ac:dyDescent="0.25">
      <c r="E69" s="22">
        <v>67</v>
      </c>
      <c r="F69" s="20" t="s">
        <v>98</v>
      </c>
    </row>
    <row r="70" spans="5:6" x14ac:dyDescent="0.25">
      <c r="E70" s="22">
        <v>68</v>
      </c>
      <c r="F70" s="20" t="s">
        <v>99</v>
      </c>
    </row>
    <row r="71" spans="5:6" x14ac:dyDescent="0.25">
      <c r="E71" s="22">
        <v>69</v>
      </c>
      <c r="F71" s="20" t="s">
        <v>100</v>
      </c>
    </row>
    <row r="72" spans="5:6" x14ac:dyDescent="0.25">
      <c r="E72" s="22">
        <v>70</v>
      </c>
      <c r="F72" s="20" t="s">
        <v>101</v>
      </c>
    </row>
    <row r="73" spans="5:6" x14ac:dyDescent="0.25">
      <c r="E73" s="22">
        <v>71</v>
      </c>
      <c r="F73" s="20" t="s">
        <v>102</v>
      </c>
    </row>
    <row r="74" spans="5:6" x14ac:dyDescent="0.25">
      <c r="E74" s="22">
        <v>72</v>
      </c>
      <c r="F74" s="20" t="s">
        <v>103</v>
      </c>
    </row>
    <row r="75" spans="5:6" x14ac:dyDescent="0.25">
      <c r="E75" s="22">
        <v>73</v>
      </c>
      <c r="F75" s="20" t="s">
        <v>104</v>
      </c>
    </row>
    <row r="76" spans="5:6" x14ac:dyDescent="0.25">
      <c r="E76" s="22">
        <v>74</v>
      </c>
      <c r="F76" s="20" t="s">
        <v>105</v>
      </c>
    </row>
    <row r="77" spans="5:6" x14ac:dyDescent="0.25">
      <c r="E77" s="22">
        <v>75</v>
      </c>
      <c r="F77" s="20" t="s">
        <v>106</v>
      </c>
    </row>
    <row r="78" spans="5:6" x14ac:dyDescent="0.25">
      <c r="E78" s="22">
        <v>76</v>
      </c>
      <c r="F78" s="20" t="s">
        <v>107</v>
      </c>
    </row>
    <row r="79" spans="5:6" x14ac:dyDescent="0.25">
      <c r="E79" s="22">
        <v>77</v>
      </c>
      <c r="F79" s="20" t="s">
        <v>108</v>
      </c>
    </row>
    <row r="80" spans="5:6" x14ac:dyDescent="0.25">
      <c r="E80" s="22">
        <v>78</v>
      </c>
      <c r="F80" s="20" t="s">
        <v>109</v>
      </c>
    </row>
    <row r="81" spans="5:6" x14ac:dyDescent="0.25">
      <c r="E81" s="22">
        <v>79</v>
      </c>
      <c r="F81" s="20" t="s">
        <v>110</v>
      </c>
    </row>
    <row r="82" spans="5:6" x14ac:dyDescent="0.25">
      <c r="E82" s="22">
        <v>80</v>
      </c>
      <c r="F82" s="20" t="s">
        <v>111</v>
      </c>
    </row>
    <row r="83" spans="5:6" x14ac:dyDescent="0.25">
      <c r="E83" s="22">
        <v>81</v>
      </c>
      <c r="F83" s="20" t="s">
        <v>112</v>
      </c>
    </row>
    <row r="84" spans="5:6" x14ac:dyDescent="0.25">
      <c r="E84" s="22">
        <v>82</v>
      </c>
      <c r="F84" s="20" t="s">
        <v>113</v>
      </c>
    </row>
    <row r="85" spans="5:6" x14ac:dyDescent="0.25">
      <c r="E85" s="22">
        <v>83</v>
      </c>
      <c r="F85" s="20" t="s">
        <v>114</v>
      </c>
    </row>
    <row r="86" spans="5:6" x14ac:dyDescent="0.25">
      <c r="E86" s="22">
        <v>84</v>
      </c>
      <c r="F86" s="20" t="s">
        <v>115</v>
      </c>
    </row>
    <row r="87" spans="5:6" x14ac:dyDescent="0.25">
      <c r="E87" s="22">
        <v>85</v>
      </c>
      <c r="F87" s="20" t="s">
        <v>116</v>
      </c>
    </row>
    <row r="88" spans="5:6" x14ac:dyDescent="0.25">
      <c r="E88" s="22">
        <v>86</v>
      </c>
      <c r="F88" s="20" t="s">
        <v>117</v>
      </c>
    </row>
    <row r="89" spans="5:6" x14ac:dyDescent="0.25">
      <c r="E89" s="22">
        <v>87</v>
      </c>
      <c r="F89" s="20" t="s">
        <v>118</v>
      </c>
    </row>
    <row r="90" spans="5:6" x14ac:dyDescent="0.25">
      <c r="E90" s="22">
        <v>88</v>
      </c>
      <c r="F90" s="20" t="s">
        <v>119</v>
      </c>
    </row>
    <row r="91" spans="5:6" x14ac:dyDescent="0.25">
      <c r="E91" s="22">
        <v>89</v>
      </c>
      <c r="F91" s="20" t="s">
        <v>120</v>
      </c>
    </row>
    <row r="92" spans="5:6" x14ac:dyDescent="0.25">
      <c r="E92" s="22">
        <v>90</v>
      </c>
      <c r="F92" s="20" t="s">
        <v>121</v>
      </c>
    </row>
    <row r="93" spans="5:6" x14ac:dyDescent="0.25">
      <c r="E93" s="22">
        <v>91</v>
      </c>
      <c r="F93" s="20" t="s">
        <v>122</v>
      </c>
    </row>
    <row r="94" spans="5:6" x14ac:dyDescent="0.25">
      <c r="E94" s="22">
        <v>92</v>
      </c>
      <c r="F94" s="20" t="s">
        <v>123</v>
      </c>
    </row>
    <row r="95" spans="5:6" x14ac:dyDescent="0.25">
      <c r="E95" s="22">
        <v>93</v>
      </c>
      <c r="F95" s="20" t="s">
        <v>124</v>
      </c>
    </row>
    <row r="96" spans="5:6" x14ac:dyDescent="0.25">
      <c r="E96" s="22">
        <v>94</v>
      </c>
      <c r="F96" s="20" t="s">
        <v>125</v>
      </c>
    </row>
    <row r="97" spans="5:6" x14ac:dyDescent="0.25">
      <c r="E97" s="22">
        <v>95</v>
      </c>
      <c r="F97" s="20" t="s">
        <v>126</v>
      </c>
    </row>
    <row r="98" spans="5:6" x14ac:dyDescent="0.25">
      <c r="E98" s="22">
        <v>96</v>
      </c>
      <c r="F98" s="20" t="s">
        <v>127</v>
      </c>
    </row>
    <row r="99" spans="5:6" x14ac:dyDescent="0.25">
      <c r="E99" s="22">
        <v>97</v>
      </c>
      <c r="F99" s="20" t="s">
        <v>128</v>
      </c>
    </row>
    <row r="100" spans="5:6" x14ac:dyDescent="0.25">
      <c r="E100" s="22">
        <v>98</v>
      </c>
      <c r="F100" s="20" t="s">
        <v>129</v>
      </c>
    </row>
    <row r="101" spans="5:6" x14ac:dyDescent="0.25">
      <c r="E101" s="22">
        <v>99</v>
      </c>
      <c r="F101" s="20" t="s">
        <v>130</v>
      </c>
    </row>
    <row r="102" spans="5:6" x14ac:dyDescent="0.25">
      <c r="E102" s="22">
        <v>100</v>
      </c>
      <c r="F102" s="20" t="s">
        <v>131</v>
      </c>
    </row>
    <row r="103" spans="5:6" x14ac:dyDescent="0.25">
      <c r="E103" s="22">
        <v>101</v>
      </c>
      <c r="F103" s="20" t="s">
        <v>132</v>
      </c>
    </row>
    <row r="104" spans="5:6" x14ac:dyDescent="0.25">
      <c r="E104" s="22">
        <v>102</v>
      </c>
      <c r="F104" s="20" t="s">
        <v>133</v>
      </c>
    </row>
    <row r="105" spans="5:6" x14ac:dyDescent="0.25">
      <c r="E105" s="22">
        <v>103</v>
      </c>
      <c r="F105" s="20" t="s">
        <v>134</v>
      </c>
    </row>
    <row r="106" spans="5:6" x14ac:dyDescent="0.25">
      <c r="E106" s="22">
        <v>104</v>
      </c>
      <c r="F106" s="20" t="s">
        <v>135</v>
      </c>
    </row>
    <row r="107" spans="5:6" x14ac:dyDescent="0.25">
      <c r="E107" s="22">
        <v>105</v>
      </c>
      <c r="F107" s="20" t="s">
        <v>136</v>
      </c>
    </row>
    <row r="108" spans="5:6" x14ac:dyDescent="0.25">
      <c r="E108" s="22">
        <v>106</v>
      </c>
      <c r="F108" s="20" t="s">
        <v>137</v>
      </c>
    </row>
    <row r="109" spans="5:6" x14ac:dyDescent="0.25">
      <c r="E109" s="22">
        <v>107</v>
      </c>
      <c r="F109" s="20" t="s">
        <v>138</v>
      </c>
    </row>
    <row r="110" spans="5:6" x14ac:dyDescent="0.25">
      <c r="E110" s="22">
        <v>108</v>
      </c>
      <c r="F110" s="20" t="s">
        <v>139</v>
      </c>
    </row>
    <row r="111" spans="5:6" x14ac:dyDescent="0.25">
      <c r="E111" s="22">
        <v>109</v>
      </c>
      <c r="F111" s="20" t="s">
        <v>140</v>
      </c>
    </row>
    <row r="112" spans="5:6" x14ac:dyDescent="0.25">
      <c r="E112" s="22">
        <v>110</v>
      </c>
      <c r="F112" s="20" t="s">
        <v>141</v>
      </c>
    </row>
    <row r="113" spans="5:6" x14ac:dyDescent="0.25">
      <c r="E113" s="22">
        <v>111</v>
      </c>
      <c r="F113" s="20" t="s">
        <v>142</v>
      </c>
    </row>
    <row r="114" spans="5:6" x14ac:dyDescent="0.25">
      <c r="E114" s="22">
        <v>112</v>
      </c>
      <c r="F114" s="20" t="s">
        <v>143</v>
      </c>
    </row>
    <row r="115" spans="5:6" x14ac:dyDescent="0.25">
      <c r="E115" s="22">
        <v>113</v>
      </c>
      <c r="F115" s="20" t="s">
        <v>144</v>
      </c>
    </row>
    <row r="116" spans="5:6" x14ac:dyDescent="0.25">
      <c r="E116" s="22">
        <v>114</v>
      </c>
      <c r="F116" s="20" t="s">
        <v>145</v>
      </c>
    </row>
    <row r="117" spans="5:6" x14ac:dyDescent="0.25">
      <c r="E117" s="22">
        <v>115</v>
      </c>
      <c r="F117" s="20" t="s">
        <v>146</v>
      </c>
    </row>
    <row r="118" spans="5:6" x14ac:dyDescent="0.25">
      <c r="E118" s="22">
        <v>116</v>
      </c>
      <c r="F118" s="20" t="s">
        <v>147</v>
      </c>
    </row>
    <row r="119" spans="5:6" x14ac:dyDescent="0.25">
      <c r="E119" s="22">
        <v>117</v>
      </c>
      <c r="F119" s="20" t="s">
        <v>148</v>
      </c>
    </row>
    <row r="120" spans="5:6" x14ac:dyDescent="0.25">
      <c r="E120" s="22">
        <v>118</v>
      </c>
      <c r="F120" s="20" t="s">
        <v>149</v>
      </c>
    </row>
    <row r="121" spans="5:6" x14ac:dyDescent="0.25">
      <c r="E121" s="22">
        <v>119</v>
      </c>
      <c r="F121" s="20" t="s">
        <v>150</v>
      </c>
    </row>
    <row r="122" spans="5:6" x14ac:dyDescent="0.25">
      <c r="E122" s="22">
        <v>120</v>
      </c>
      <c r="F122" s="20" t="s">
        <v>151</v>
      </c>
    </row>
    <row r="123" spans="5:6" x14ac:dyDescent="0.25">
      <c r="E123" s="22">
        <v>121</v>
      </c>
      <c r="F123" s="20" t="s">
        <v>152</v>
      </c>
    </row>
    <row r="124" spans="5:6" x14ac:dyDescent="0.25">
      <c r="E124" s="22">
        <v>122</v>
      </c>
      <c r="F124" s="20" t="s">
        <v>153</v>
      </c>
    </row>
    <row r="125" spans="5:6" x14ac:dyDescent="0.25">
      <c r="E125" s="22">
        <v>123</v>
      </c>
      <c r="F125" s="20" t="s">
        <v>154</v>
      </c>
    </row>
    <row r="126" spans="5:6" x14ac:dyDescent="0.25">
      <c r="E126" s="22">
        <v>124</v>
      </c>
      <c r="F126" s="20" t="s">
        <v>155</v>
      </c>
    </row>
    <row r="127" spans="5:6" x14ac:dyDescent="0.25">
      <c r="E127" s="22">
        <v>125</v>
      </c>
      <c r="F127" s="20" t="s">
        <v>156</v>
      </c>
    </row>
    <row r="128" spans="5:6" x14ac:dyDescent="0.25">
      <c r="E128" s="22">
        <v>126</v>
      </c>
      <c r="F128" s="20" t="s">
        <v>157</v>
      </c>
    </row>
    <row r="129" spans="5:6" x14ac:dyDescent="0.25">
      <c r="E129" s="22">
        <v>127</v>
      </c>
      <c r="F129" s="20" t="s">
        <v>158</v>
      </c>
    </row>
    <row r="130" spans="5:6" x14ac:dyDescent="0.25">
      <c r="E130" s="22">
        <v>128</v>
      </c>
      <c r="F130" s="20" t="s">
        <v>159</v>
      </c>
    </row>
    <row r="131" spans="5:6" x14ac:dyDescent="0.25">
      <c r="E131" s="22">
        <v>129</v>
      </c>
      <c r="F131" s="20" t="s">
        <v>160</v>
      </c>
    </row>
    <row r="132" spans="5:6" x14ac:dyDescent="0.25">
      <c r="E132" s="22">
        <v>130</v>
      </c>
      <c r="F132" s="20" t="s">
        <v>161</v>
      </c>
    </row>
    <row r="133" spans="5:6" x14ac:dyDescent="0.25">
      <c r="E133" s="22">
        <v>131</v>
      </c>
      <c r="F133" s="20" t="s">
        <v>162</v>
      </c>
    </row>
    <row r="134" spans="5:6" x14ac:dyDescent="0.25">
      <c r="E134" s="22">
        <v>132</v>
      </c>
      <c r="F134" s="20" t="s">
        <v>163</v>
      </c>
    </row>
    <row r="135" spans="5:6" x14ac:dyDescent="0.25">
      <c r="E135" s="22">
        <v>133</v>
      </c>
      <c r="F135" s="20" t="s">
        <v>164</v>
      </c>
    </row>
    <row r="136" spans="5:6" x14ac:dyDescent="0.25">
      <c r="E136" s="22">
        <v>134</v>
      </c>
      <c r="F136" s="20" t="s">
        <v>165</v>
      </c>
    </row>
    <row r="137" spans="5:6" x14ac:dyDescent="0.25">
      <c r="E137" s="22">
        <v>135</v>
      </c>
      <c r="F137" s="20" t="s">
        <v>166</v>
      </c>
    </row>
    <row r="138" spans="5:6" x14ac:dyDescent="0.25">
      <c r="E138" s="22">
        <v>136</v>
      </c>
      <c r="F138" s="20" t="s">
        <v>167</v>
      </c>
    </row>
    <row r="139" spans="5:6" x14ac:dyDescent="0.25">
      <c r="E139" s="22">
        <v>137</v>
      </c>
      <c r="F139" s="20" t="s">
        <v>168</v>
      </c>
    </row>
    <row r="140" spans="5:6" x14ac:dyDescent="0.25">
      <c r="E140" s="22">
        <v>138</v>
      </c>
      <c r="F140" s="20" t="s">
        <v>169</v>
      </c>
    </row>
    <row r="141" spans="5:6" x14ac:dyDescent="0.25">
      <c r="E141" s="22">
        <v>139</v>
      </c>
      <c r="F141" s="20" t="s">
        <v>170</v>
      </c>
    </row>
    <row r="142" spans="5:6" x14ac:dyDescent="0.25">
      <c r="E142" s="22">
        <v>140</v>
      </c>
      <c r="F142" s="20" t="s">
        <v>171</v>
      </c>
    </row>
    <row r="143" spans="5:6" x14ac:dyDescent="0.25">
      <c r="E143" s="22">
        <v>141</v>
      </c>
      <c r="F143" s="20" t="s">
        <v>172</v>
      </c>
    </row>
    <row r="144" spans="5:6" x14ac:dyDescent="0.25">
      <c r="E144" s="22">
        <v>142</v>
      </c>
      <c r="F144" s="20" t="s">
        <v>173</v>
      </c>
    </row>
    <row r="145" spans="5:6" x14ac:dyDescent="0.25">
      <c r="E145" s="22">
        <v>143</v>
      </c>
      <c r="F145" s="20" t="s">
        <v>174</v>
      </c>
    </row>
    <row r="146" spans="5:6" x14ac:dyDescent="0.25">
      <c r="E146" s="22">
        <v>144</v>
      </c>
      <c r="F146" s="20" t="s">
        <v>175</v>
      </c>
    </row>
    <row r="147" spans="5:6" x14ac:dyDescent="0.25">
      <c r="E147" s="22">
        <v>145</v>
      </c>
      <c r="F147" s="20" t="s">
        <v>176</v>
      </c>
    </row>
    <row r="148" spans="5:6" x14ac:dyDescent="0.25">
      <c r="E148" s="22">
        <v>146</v>
      </c>
      <c r="F148" s="20" t="s">
        <v>177</v>
      </c>
    </row>
    <row r="149" spans="5:6" x14ac:dyDescent="0.25">
      <c r="E149" s="22">
        <v>147</v>
      </c>
      <c r="F149" s="20" t="s">
        <v>178</v>
      </c>
    </row>
    <row r="150" spans="5:6" x14ac:dyDescent="0.25">
      <c r="E150" s="22">
        <v>148</v>
      </c>
      <c r="F150" s="20" t="s">
        <v>179</v>
      </c>
    </row>
    <row r="151" spans="5:6" x14ac:dyDescent="0.25">
      <c r="E151" s="22">
        <v>149</v>
      </c>
      <c r="F151" s="20" t="s">
        <v>180</v>
      </c>
    </row>
    <row r="152" spans="5:6" x14ac:dyDescent="0.25">
      <c r="E152" s="22">
        <v>150</v>
      </c>
      <c r="F152" s="20" t="s">
        <v>181</v>
      </c>
    </row>
    <row r="153" spans="5:6" x14ac:dyDescent="0.25">
      <c r="E153" s="22">
        <v>151</v>
      </c>
      <c r="F153" s="20" t="s">
        <v>182</v>
      </c>
    </row>
    <row r="154" spans="5:6" x14ac:dyDescent="0.25">
      <c r="E154" s="22">
        <v>152</v>
      </c>
      <c r="F154" s="20" t="s">
        <v>183</v>
      </c>
    </row>
    <row r="155" spans="5:6" x14ac:dyDescent="0.25">
      <c r="E155" s="22">
        <v>153</v>
      </c>
      <c r="F155" s="20" t="s">
        <v>184</v>
      </c>
    </row>
    <row r="156" spans="5:6" x14ac:dyDescent="0.25">
      <c r="E156" s="22">
        <v>154</v>
      </c>
      <c r="F156" s="20" t="s">
        <v>185</v>
      </c>
    </row>
    <row r="157" spans="5:6" x14ac:dyDescent="0.25">
      <c r="E157" s="22">
        <v>155</v>
      </c>
      <c r="F157" s="20" t="s">
        <v>186</v>
      </c>
    </row>
    <row r="158" spans="5:6" x14ac:dyDescent="0.25">
      <c r="E158" s="22">
        <v>156</v>
      </c>
      <c r="F158" s="20" t="s">
        <v>187</v>
      </c>
    </row>
    <row r="159" spans="5:6" x14ac:dyDescent="0.25">
      <c r="E159" s="22">
        <v>157</v>
      </c>
      <c r="F159" s="20" t="s">
        <v>188</v>
      </c>
    </row>
    <row r="160" spans="5:6" x14ac:dyDescent="0.25">
      <c r="E160" s="22">
        <v>158</v>
      </c>
      <c r="F160" s="20" t="s">
        <v>189</v>
      </c>
    </row>
    <row r="161" spans="5:6" x14ac:dyDescent="0.25">
      <c r="E161" s="22">
        <v>159</v>
      </c>
      <c r="F161" s="20" t="s">
        <v>190</v>
      </c>
    </row>
    <row r="162" spans="5:6" x14ac:dyDescent="0.25">
      <c r="E162" s="22">
        <v>160</v>
      </c>
      <c r="F162" s="20" t="s">
        <v>191</v>
      </c>
    </row>
    <row r="163" spans="5:6" x14ac:dyDescent="0.25">
      <c r="E163" s="22">
        <v>161</v>
      </c>
      <c r="F163" s="20" t="s">
        <v>205</v>
      </c>
    </row>
    <row r="164" spans="5:6" x14ac:dyDescent="0.25">
      <c r="E164" s="22">
        <v>162</v>
      </c>
      <c r="F164" s="20" t="s">
        <v>206</v>
      </c>
    </row>
    <row r="165" spans="5:6" x14ac:dyDescent="0.25">
      <c r="E165" s="22">
        <v>163</v>
      </c>
      <c r="F165" s="20" t="s">
        <v>207</v>
      </c>
    </row>
    <row r="166" spans="5:6" x14ac:dyDescent="0.25">
      <c r="E166" s="22">
        <v>164</v>
      </c>
      <c r="F166" s="20" t="s">
        <v>208</v>
      </c>
    </row>
    <row r="167" spans="5:6" x14ac:dyDescent="0.25">
      <c r="E167" s="22">
        <v>165</v>
      </c>
      <c r="F167" s="20" t="s">
        <v>209</v>
      </c>
    </row>
    <row r="168" spans="5:6" x14ac:dyDescent="0.25">
      <c r="E168" s="22">
        <v>166</v>
      </c>
      <c r="F168" s="20" t="s">
        <v>210</v>
      </c>
    </row>
    <row r="169" spans="5:6" x14ac:dyDescent="0.25">
      <c r="E169" s="22">
        <v>167</v>
      </c>
      <c r="F169" s="20" t="s">
        <v>211</v>
      </c>
    </row>
    <row r="170" spans="5:6" x14ac:dyDescent="0.25">
      <c r="E170" s="22">
        <v>168</v>
      </c>
      <c r="F170" s="20" t="s">
        <v>212</v>
      </c>
    </row>
    <row r="171" spans="5:6" x14ac:dyDescent="0.25">
      <c r="E171" s="22">
        <v>169</v>
      </c>
      <c r="F171" s="20" t="s">
        <v>213</v>
      </c>
    </row>
    <row r="172" spans="5:6" x14ac:dyDescent="0.25">
      <c r="E172" s="22">
        <v>170</v>
      </c>
      <c r="F172" s="20" t="s">
        <v>214</v>
      </c>
    </row>
    <row r="173" spans="5:6" x14ac:dyDescent="0.25">
      <c r="E173" s="22">
        <v>171</v>
      </c>
      <c r="F173" s="20" t="s">
        <v>215</v>
      </c>
    </row>
    <row r="174" spans="5:6" x14ac:dyDescent="0.25">
      <c r="E174" s="22">
        <v>172</v>
      </c>
      <c r="F174" s="20" t="s">
        <v>216</v>
      </c>
    </row>
    <row r="175" spans="5:6" x14ac:dyDescent="0.25">
      <c r="E175" s="22">
        <v>173</v>
      </c>
      <c r="F175" s="20" t="s">
        <v>217</v>
      </c>
    </row>
    <row r="176" spans="5:6" x14ac:dyDescent="0.25">
      <c r="E176" s="22">
        <v>174</v>
      </c>
      <c r="F176" s="20" t="s">
        <v>218</v>
      </c>
    </row>
  </sheetData>
  <sheetProtection algorithmName="SHA-512" hashValue="MsKOiK/6GihWA0VV7l10FnVTC1TtYb09GPf4livgd9khy4evvIsACDf/1TS8U5dodzZGgA/RymPuIANhpIV7BQ==" saltValue="wJqrdACSVJKjnTG78z9xMg==" spinCount="100000" sheet="1" objects="1" scenarios="1"/>
  <mergeCells count="1">
    <mergeCell ref="J1:K1"/>
  </mergeCells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3" bestFit="1" customWidth="1"/>
    <col min="4" max="4" width="42.28515625" style="1" customWidth="1"/>
    <col min="5" max="5" width="18.42578125" style="25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3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44426.238004976854</v>
      </c>
      <c r="C6" s="65" t="s">
        <v>22</v>
      </c>
      <c r="D6" s="66"/>
      <c r="E6" s="19" t="s">
        <v>228</v>
      </c>
      <c r="F6" s="6" t="s">
        <v>23</v>
      </c>
      <c r="G6" s="8" t="s">
        <v>227</v>
      </c>
      <c r="H6" s="69" t="s">
        <v>2</v>
      </c>
      <c r="I6" s="70"/>
      <c r="J6" s="67" t="s">
        <v>19</v>
      </c>
      <c r="K6" s="68"/>
      <c r="L6" s="3"/>
    </row>
    <row r="7" spans="1:12" s="3" customFormat="1" ht="15" thickBot="1" x14ac:dyDescent="0.25">
      <c r="A7" s="4"/>
      <c r="C7" s="12"/>
      <c r="J7" s="12"/>
      <c r="K7" s="4"/>
    </row>
    <row r="8" spans="1:12" s="26" customFormat="1" ht="48" customHeight="1" thickBot="1" x14ac:dyDescent="0.25">
      <c r="A8" s="55" t="s">
        <v>3</v>
      </c>
      <c r="B8" s="56" t="s">
        <v>4</v>
      </c>
      <c r="C8" s="57" t="s">
        <v>196</v>
      </c>
      <c r="D8" s="56" t="s">
        <v>24</v>
      </c>
      <c r="E8" s="57" t="s">
        <v>5</v>
      </c>
      <c r="F8" s="57" t="s">
        <v>6</v>
      </c>
      <c r="G8" s="57" t="s">
        <v>8</v>
      </c>
      <c r="H8" s="57" t="s">
        <v>7</v>
      </c>
      <c r="I8" s="58" t="s">
        <v>194</v>
      </c>
      <c r="J8" s="57" t="s">
        <v>197</v>
      </c>
      <c r="K8" s="56" t="s">
        <v>198</v>
      </c>
      <c r="L8" s="59" t="s">
        <v>9</v>
      </c>
    </row>
    <row r="9" spans="1:12" ht="30" x14ac:dyDescent="0.2">
      <c r="A9" s="17" t="s">
        <v>10</v>
      </c>
      <c r="B9" s="44" t="s">
        <v>224</v>
      </c>
      <c r="C9" s="37">
        <v>139</v>
      </c>
      <c r="D9" s="31" t="str">
        <f>IFERROR(VLOOKUP(C9,DATOS!$E$2:$F$200,2,FALSE),"Sin Datos")</f>
        <v>SANCHEZ GARCIA KEVIN DUVAN</v>
      </c>
      <c r="E9" s="34">
        <v>1004111</v>
      </c>
      <c r="F9" s="37">
        <v>1000</v>
      </c>
      <c r="G9" s="37"/>
      <c r="H9" s="37"/>
      <c r="I9" s="54"/>
      <c r="J9" s="28"/>
      <c r="K9" s="31" t="str">
        <f>IFERROR(VLOOKUP(J9,DATOS!$J$2:$K$5,2,FALSE),"SIN PARO")</f>
        <v>SIN PARO</v>
      </c>
      <c r="L9" s="50"/>
    </row>
    <row r="10" spans="1:12" ht="30.75" thickBot="1" x14ac:dyDescent="0.25">
      <c r="A10" s="18" t="s">
        <v>10</v>
      </c>
      <c r="B10" s="45" t="s">
        <v>224</v>
      </c>
      <c r="C10" s="38"/>
      <c r="D10" s="32" t="str">
        <f>IFERROR(VLOOKUP(C10,DATOS!$E$2:$F$200,2,FALSE),"Sin Datos")</f>
        <v>Sin Datos</v>
      </c>
      <c r="E10" s="35"/>
      <c r="F10" s="38"/>
      <c r="G10" s="38"/>
      <c r="H10" s="38"/>
      <c r="I10" s="41"/>
      <c r="J10" s="29"/>
      <c r="K10" s="32" t="str">
        <f>IFERROR(VLOOKUP(J10,DATOS!$J$2:$K$5,2,FALSE),"SIN PARO")</f>
        <v>SIN PARO</v>
      </c>
      <c r="L10" s="49"/>
    </row>
    <row r="11" spans="1:12" ht="15.75" thickBot="1" x14ac:dyDescent="0.25">
      <c r="A11" s="16" t="s">
        <v>226</v>
      </c>
      <c r="B11" s="43" t="s">
        <v>11</v>
      </c>
      <c r="C11" s="36">
        <v>139</v>
      </c>
      <c r="D11" s="30" t="str">
        <f>IFERROR(VLOOKUP(C11,DATOS!$E$2:$F$200,2,FALSE),"Sin Datos")</f>
        <v>SANCHEZ GARCIA KEVIN DUVAN</v>
      </c>
      <c r="E11" s="33">
        <v>1004111</v>
      </c>
      <c r="F11" s="36">
        <v>400</v>
      </c>
      <c r="G11" s="36"/>
      <c r="H11" s="36"/>
      <c r="I11" s="39"/>
      <c r="J11" s="27"/>
      <c r="K11" s="30" t="str">
        <f>IFERROR(VLOOKUP(J11,DATOS!$J$2:$K$5,2,FALSE),"SIN PARO")</f>
        <v>SIN PARO</v>
      </c>
      <c r="L11" s="48"/>
    </row>
    <row r="12" spans="1:12" ht="15" x14ac:dyDescent="0.2">
      <c r="A12" s="17" t="s">
        <v>226</v>
      </c>
      <c r="B12" s="44" t="s">
        <v>11</v>
      </c>
      <c r="C12" s="37"/>
      <c r="D12" s="31" t="str">
        <f>IFERROR(VLOOKUP(C12,DATOS!$E$2:$F$200,2,FALSE),"Sin Datos")</f>
        <v>Sin Datos</v>
      </c>
      <c r="E12" s="34"/>
      <c r="F12" s="37"/>
      <c r="G12" s="37"/>
      <c r="H12" s="37"/>
      <c r="I12" s="40"/>
      <c r="J12" s="28"/>
      <c r="K12" s="31" t="str">
        <f>IFERROR(VLOOKUP(J12,DATOS!$J$2:$K$5,2,FALSE),"SIN PARO")</f>
        <v>SIN PARO</v>
      </c>
      <c r="L12" s="48"/>
    </row>
    <row r="13" spans="1:12" ht="15" x14ac:dyDescent="0.2">
      <c r="A13" s="17" t="s">
        <v>226</v>
      </c>
      <c r="B13" s="44" t="s">
        <v>11</v>
      </c>
      <c r="C13" s="37"/>
      <c r="D13" s="31" t="str">
        <f>IFERROR(VLOOKUP(C13,DATOS!$E$2:$F$200,2,FALSE),"Sin Datos")</f>
        <v>Sin Datos</v>
      </c>
      <c r="E13" s="34"/>
      <c r="F13" s="37"/>
      <c r="G13" s="37"/>
      <c r="H13" s="37"/>
      <c r="I13" s="40"/>
      <c r="J13" s="28"/>
      <c r="K13" s="31" t="str">
        <f>IFERROR(VLOOKUP(J13,DATOS!$J$2:$K$5,2,FALSE),"SIN PARO")</f>
        <v>SIN PARO</v>
      </c>
      <c r="L13" s="50"/>
    </row>
    <row r="14" spans="1:12" ht="15" x14ac:dyDescent="0.2">
      <c r="A14" s="17" t="s">
        <v>226</v>
      </c>
      <c r="B14" s="44" t="s">
        <v>11</v>
      </c>
      <c r="C14" s="37"/>
      <c r="D14" s="31" t="str">
        <f>IFERROR(VLOOKUP(C14,DATOS!$E$2:$F$200,2,FALSE),"Sin Datos")</f>
        <v>Sin Datos</v>
      </c>
      <c r="E14" s="34"/>
      <c r="F14" s="37"/>
      <c r="G14" s="37"/>
      <c r="H14" s="37"/>
      <c r="I14" s="40"/>
      <c r="J14" s="28"/>
      <c r="K14" s="31" t="str">
        <f>IFERROR(VLOOKUP(J14,DATOS!$J$2:$K$5,2,FALSE),"SIN PARO")</f>
        <v>SIN PARO</v>
      </c>
      <c r="L14" s="50"/>
    </row>
    <row r="15" spans="1:12" ht="15" x14ac:dyDescent="0.2">
      <c r="A15" s="17" t="s">
        <v>226</v>
      </c>
      <c r="B15" s="44" t="s">
        <v>12</v>
      </c>
      <c r="C15" s="37"/>
      <c r="D15" s="31" t="str">
        <f>IFERROR(VLOOKUP(C15,DATOS!$E$2:$F$200,2,FALSE),"Sin Datos")</f>
        <v>Sin Datos</v>
      </c>
      <c r="E15" s="34"/>
      <c r="F15" s="37"/>
      <c r="G15" s="37"/>
      <c r="H15" s="37"/>
      <c r="I15" s="40"/>
      <c r="J15" s="28"/>
      <c r="K15" s="31" t="str">
        <f>IFERROR(VLOOKUP(J15,DATOS!$J$2:$K$5,2,FALSE),"SIN PARO")</f>
        <v>SIN PARO</v>
      </c>
      <c r="L15" s="50"/>
    </row>
    <row r="16" spans="1:12" ht="15" x14ac:dyDescent="0.2">
      <c r="A16" s="17" t="s">
        <v>226</v>
      </c>
      <c r="B16" s="44" t="s">
        <v>12</v>
      </c>
      <c r="C16" s="37"/>
      <c r="D16" s="31" t="str">
        <f>IFERROR(VLOOKUP(C16,DATOS!$E$2:$F$200,2,FALSE),"Sin Datos")</f>
        <v>Sin Datos</v>
      </c>
      <c r="E16" s="34"/>
      <c r="F16" s="37"/>
      <c r="G16" s="37"/>
      <c r="H16" s="37"/>
      <c r="I16" s="40"/>
      <c r="J16" s="28"/>
      <c r="K16" s="31" t="str">
        <f>IFERROR(VLOOKUP(J16,DATOS!$J$2:$K$5,2,FALSE),"SIN PARO")</f>
        <v>SIN PARO</v>
      </c>
      <c r="L16" s="50"/>
    </row>
    <row r="17" spans="1:12" ht="15" x14ac:dyDescent="0.2">
      <c r="A17" s="17" t="s">
        <v>226</v>
      </c>
      <c r="B17" s="44" t="s">
        <v>12</v>
      </c>
      <c r="C17" s="37"/>
      <c r="D17" s="31" t="str">
        <f>IFERROR(VLOOKUP(C17,DATOS!$E$2:$F$200,2,FALSE),"Sin Datos")</f>
        <v>Sin Datos</v>
      </c>
      <c r="E17" s="34"/>
      <c r="F17" s="37"/>
      <c r="G17" s="37"/>
      <c r="H17" s="37"/>
      <c r="I17" s="40"/>
      <c r="J17" s="28"/>
      <c r="K17" s="31" t="str">
        <f>IFERROR(VLOOKUP(J17,DATOS!$J$2:$K$5,2,FALSE),"SIN PARO")</f>
        <v>SIN PARO</v>
      </c>
      <c r="L17" s="50"/>
    </row>
    <row r="18" spans="1:12" ht="15" x14ac:dyDescent="0.2">
      <c r="A18" s="17" t="s">
        <v>226</v>
      </c>
      <c r="B18" s="44" t="s">
        <v>12</v>
      </c>
      <c r="C18" s="37"/>
      <c r="D18" s="31" t="str">
        <f>IFERROR(VLOOKUP(C18,DATOS!$E$2:$F$200,2,FALSE),"Sin Datos")</f>
        <v>Sin Datos</v>
      </c>
      <c r="E18" s="34"/>
      <c r="F18" s="37"/>
      <c r="G18" s="37"/>
      <c r="H18" s="37"/>
      <c r="I18" s="40"/>
      <c r="J18" s="28"/>
      <c r="K18" s="31" t="str">
        <f>IFERROR(VLOOKUP(J18,DATOS!$J$2:$K$5,2,FALSE),"SIN PARO")</f>
        <v>SIN PARO</v>
      </c>
      <c r="L18" s="50"/>
    </row>
    <row r="19" spans="1:12" ht="15" x14ac:dyDescent="0.2">
      <c r="A19" s="17" t="s">
        <v>226</v>
      </c>
      <c r="B19" s="44" t="s">
        <v>12</v>
      </c>
      <c r="C19" s="37"/>
      <c r="D19" s="31" t="str">
        <f>IFERROR(VLOOKUP(C19,DATOS!$E$2:$F$200,2,FALSE),"Sin Datos")</f>
        <v>Sin Datos</v>
      </c>
      <c r="E19" s="34"/>
      <c r="F19" s="37"/>
      <c r="G19" s="37"/>
      <c r="H19" s="37"/>
      <c r="I19" s="40"/>
      <c r="J19" s="28"/>
      <c r="K19" s="31" t="str">
        <f>IFERROR(VLOOKUP(J19,DATOS!$J$2:$K$5,2,FALSE),"SIN PARO")</f>
        <v>SIN PARO</v>
      </c>
      <c r="L19" s="50"/>
    </row>
    <row r="20" spans="1:12" ht="15.75" thickBot="1" x14ac:dyDescent="0.25">
      <c r="A20" s="18" t="s">
        <v>226</v>
      </c>
      <c r="B20" s="45" t="s">
        <v>12</v>
      </c>
      <c r="C20" s="38"/>
      <c r="D20" s="32" t="str">
        <f>IFERROR(VLOOKUP(C20,DATOS!$E$2:$F$200,2,FALSE),"Sin Datos")</f>
        <v>Sin Datos</v>
      </c>
      <c r="E20" s="35"/>
      <c r="F20" s="38"/>
      <c r="G20" s="38"/>
      <c r="H20" s="38"/>
      <c r="I20" s="41"/>
      <c r="J20" s="29"/>
      <c r="K20" s="32" t="str">
        <f>IFERROR(VLOOKUP(J20,DATOS!$J$2:$K$5,2,FALSE),"SIN PARO")</f>
        <v>SIN PARO</v>
      </c>
      <c r="L20" s="49"/>
    </row>
    <row r="21" spans="1:12" ht="30" x14ac:dyDescent="0.2">
      <c r="A21" s="16" t="s">
        <v>222</v>
      </c>
      <c r="B21" s="51" t="s">
        <v>222</v>
      </c>
      <c r="C21" s="36"/>
      <c r="D21" s="30" t="str">
        <f>IFERROR(VLOOKUP(C21,DATOS!$E$2:$F$200,2,FALSE),"Sin Datos")</f>
        <v>Sin Datos</v>
      </c>
      <c r="E21" s="33"/>
      <c r="F21" s="36"/>
      <c r="G21" s="36"/>
      <c r="H21" s="36"/>
      <c r="I21" s="39"/>
      <c r="J21" s="27"/>
      <c r="K21" s="30" t="str">
        <f>IFERROR(VLOOKUP(J21,DATOS!$J$2:$K$5,2,FALSE),"SIN PARO")</f>
        <v>SIN PARO</v>
      </c>
      <c r="L21" s="48"/>
    </row>
    <row r="22" spans="1:12" ht="30" x14ac:dyDescent="0.2">
      <c r="A22" s="17" t="s">
        <v>222</v>
      </c>
      <c r="B22" s="52" t="s">
        <v>222</v>
      </c>
      <c r="C22" s="37"/>
      <c r="D22" s="31" t="str">
        <f>IFERROR(VLOOKUP(C22,DATOS!$E$2:$F$200,2,FALSE),"Sin Datos")</f>
        <v>Sin Datos</v>
      </c>
      <c r="E22" s="34"/>
      <c r="F22" s="37"/>
      <c r="G22" s="37"/>
      <c r="H22" s="37"/>
      <c r="I22" s="40"/>
      <c r="J22" s="28"/>
      <c r="K22" s="31" t="str">
        <f>IFERROR(VLOOKUP(J22,DATOS!$J$2:$K$5,2,FALSE),"SIN PARO")</f>
        <v>SIN PARO</v>
      </c>
      <c r="L22" s="50"/>
    </row>
    <row r="23" spans="1:12" ht="30" x14ac:dyDescent="0.2">
      <c r="A23" s="17" t="s">
        <v>222</v>
      </c>
      <c r="B23" s="52" t="s">
        <v>222</v>
      </c>
      <c r="C23" s="37"/>
      <c r="D23" s="31" t="str">
        <f>IFERROR(VLOOKUP(C23,DATOS!$E$2:$F$200,2,FALSE),"Sin Datos")</f>
        <v>Sin Datos</v>
      </c>
      <c r="E23" s="34"/>
      <c r="F23" s="37"/>
      <c r="G23" s="37"/>
      <c r="H23" s="37"/>
      <c r="I23" s="40"/>
      <c r="J23" s="28"/>
      <c r="K23" s="31" t="str">
        <f>IFERROR(VLOOKUP(J23,DATOS!$J$2:$K$5,2,FALSE),"SIN PARO")</f>
        <v>SIN PARO</v>
      </c>
      <c r="L23" s="50"/>
    </row>
    <row r="24" spans="1:12" ht="30.75" thickBot="1" x14ac:dyDescent="0.25">
      <c r="A24" s="18" t="s">
        <v>222</v>
      </c>
      <c r="B24" s="53" t="s">
        <v>222</v>
      </c>
      <c r="C24" s="38"/>
      <c r="D24" s="32" t="str">
        <f>IFERROR(VLOOKUP(C24,DATOS!$E$2:$F$200,2,FALSE),"Sin Datos")</f>
        <v>Sin Datos</v>
      </c>
      <c r="E24" s="35"/>
      <c r="F24" s="38"/>
      <c r="G24" s="38"/>
      <c r="H24" s="38"/>
      <c r="I24" s="41"/>
      <c r="J24" s="29"/>
      <c r="K24" s="32" t="str">
        <f>IFERROR(VLOOKUP(J24,DATOS!$J$2:$K$5,2,FALSE),"SIN PARO")</f>
        <v>SIN PARO</v>
      </c>
      <c r="L24" s="49"/>
    </row>
    <row r="25" spans="1:12" ht="30" x14ac:dyDescent="0.2">
      <c r="A25" s="16" t="s">
        <v>225</v>
      </c>
      <c r="B25" s="51" t="s">
        <v>225</v>
      </c>
      <c r="C25" s="36"/>
      <c r="D25" s="30" t="str">
        <f>IFERROR(VLOOKUP(C25,DATOS!$E$2:$F$200,2,FALSE),"Sin Datos")</f>
        <v>Sin Datos</v>
      </c>
      <c r="E25" s="33"/>
      <c r="F25" s="36"/>
      <c r="G25" s="36"/>
      <c r="H25" s="36"/>
      <c r="I25" s="39"/>
      <c r="J25" s="27"/>
      <c r="K25" s="30" t="str">
        <f>IFERROR(VLOOKUP(J25,DATOS!$J$2:$K$5,2,FALSE),"SIN PARO")</f>
        <v>SIN PARO</v>
      </c>
      <c r="L25" s="48"/>
    </row>
    <row r="26" spans="1:12" ht="30" x14ac:dyDescent="0.2">
      <c r="A26" s="17" t="s">
        <v>225</v>
      </c>
      <c r="B26" s="52" t="s">
        <v>225</v>
      </c>
      <c r="C26" s="37"/>
      <c r="D26" s="31" t="str">
        <f>IFERROR(VLOOKUP(C26,DATOS!$E$2:$F$200,2,FALSE),"Sin Datos")</f>
        <v>Sin Datos</v>
      </c>
      <c r="E26" s="34"/>
      <c r="F26" s="37"/>
      <c r="G26" s="37"/>
      <c r="H26" s="37"/>
      <c r="I26" s="40"/>
      <c r="J26" s="28"/>
      <c r="K26" s="31" t="str">
        <f>IFERROR(VLOOKUP(J26,DATOS!$J$2:$K$5,2,FALSE),"SIN PARO")</f>
        <v>SIN PARO</v>
      </c>
      <c r="L26" s="50"/>
    </row>
    <row r="27" spans="1:12" ht="30" x14ac:dyDescent="0.2">
      <c r="A27" s="17" t="s">
        <v>225</v>
      </c>
      <c r="B27" s="52" t="s">
        <v>225</v>
      </c>
      <c r="C27" s="37"/>
      <c r="D27" s="31" t="str">
        <f>IFERROR(VLOOKUP(C27,DATOS!$E$2:$F$200,2,FALSE),"Sin Datos")</f>
        <v>Sin Datos</v>
      </c>
      <c r="E27" s="34"/>
      <c r="F27" s="37"/>
      <c r="G27" s="37"/>
      <c r="H27" s="37"/>
      <c r="I27" s="40"/>
      <c r="J27" s="28"/>
      <c r="K27" s="31" t="str">
        <f>IFERROR(VLOOKUP(J27,DATOS!$J$2:$K$5,2,FALSE),"SIN PARO")</f>
        <v>SIN PARO</v>
      </c>
      <c r="L27" s="50"/>
    </row>
    <row r="28" spans="1:12" ht="30.75" thickBot="1" x14ac:dyDescent="0.25">
      <c r="A28" s="17" t="s">
        <v>225</v>
      </c>
      <c r="B28" s="52" t="s">
        <v>225</v>
      </c>
      <c r="C28" s="37"/>
      <c r="D28" s="31" t="str">
        <f>IFERROR(VLOOKUP(C28,DATOS!$E$2:$F$200,2,FALSE),"Sin Datos")</f>
        <v>Sin Datos</v>
      </c>
      <c r="E28" s="34"/>
      <c r="F28" s="37"/>
      <c r="G28" s="37"/>
      <c r="H28" s="37"/>
      <c r="I28" s="40"/>
      <c r="J28" s="28"/>
      <c r="K28" s="31" t="str">
        <f>IFERROR(VLOOKUP(J28,DATOS!$J$2:$K$5,2,FALSE),"SIN PARO")</f>
        <v>SIN PARO</v>
      </c>
      <c r="L28" s="50"/>
    </row>
    <row r="29" spans="1:12" ht="15" x14ac:dyDescent="0.2">
      <c r="A29" s="16" t="s">
        <v>29</v>
      </c>
      <c r="B29" s="51" t="s">
        <v>29</v>
      </c>
      <c r="C29" s="36">
        <v>139</v>
      </c>
      <c r="D29" s="30" t="str">
        <f>IFERROR(VLOOKUP(C29,DATOS!$E$2:$F$200,2,FALSE),"Sin Datos")</f>
        <v>SANCHEZ GARCIA KEVIN DUVAN</v>
      </c>
      <c r="E29" s="33">
        <v>1004111</v>
      </c>
      <c r="F29" s="36">
        <v>300</v>
      </c>
      <c r="G29" s="36"/>
      <c r="H29" s="36"/>
      <c r="I29" s="39"/>
      <c r="J29" s="27"/>
      <c r="K29" s="30" t="str">
        <f>IFERROR(VLOOKUP(J29,DATOS!$J$2:$K$5,2,FALSE),"SIN PARO")</f>
        <v>SIN PARO</v>
      </c>
      <c r="L29" s="48"/>
    </row>
    <row r="30" spans="1:12" ht="15" x14ac:dyDescent="0.2">
      <c r="A30" s="17" t="s">
        <v>29</v>
      </c>
      <c r="B30" s="52" t="s">
        <v>29</v>
      </c>
      <c r="C30" s="37"/>
      <c r="D30" s="31" t="str">
        <f>IFERROR(VLOOKUP(C30,DATOS!$E$2:$F$200,2,FALSE),"Sin Datos")</f>
        <v>Sin Datos</v>
      </c>
      <c r="E30" s="34"/>
      <c r="F30" s="37"/>
      <c r="G30" s="37"/>
      <c r="H30" s="37"/>
      <c r="I30" s="40"/>
      <c r="J30" s="28"/>
      <c r="K30" s="31" t="str">
        <f>IFERROR(VLOOKUP(J30,DATOS!$J$2:$K$5,2,FALSE),"SIN PARO")</f>
        <v>SIN PARO</v>
      </c>
      <c r="L30" s="50"/>
    </row>
    <row r="31" spans="1:12" ht="15" x14ac:dyDescent="0.2">
      <c r="A31" s="17" t="s">
        <v>29</v>
      </c>
      <c r="B31" s="52" t="s">
        <v>29</v>
      </c>
      <c r="C31" s="37"/>
      <c r="D31" s="31" t="str">
        <f>IFERROR(VLOOKUP(C31,DATOS!$E$2:$F$200,2,FALSE),"Sin Datos")</f>
        <v>Sin Datos</v>
      </c>
      <c r="E31" s="34"/>
      <c r="F31" s="37"/>
      <c r="G31" s="37"/>
      <c r="H31" s="37"/>
      <c r="I31" s="40"/>
      <c r="J31" s="28"/>
      <c r="K31" s="31" t="str">
        <f>IFERROR(VLOOKUP(J31,DATOS!$J$2:$K$5,2,FALSE),"SIN PARO")</f>
        <v>SIN PARO</v>
      </c>
      <c r="L31" s="50"/>
    </row>
    <row r="32" spans="1:12" ht="15.75" thickBot="1" x14ac:dyDescent="0.25">
      <c r="A32" s="18" t="s">
        <v>29</v>
      </c>
      <c r="B32" s="53" t="s">
        <v>29</v>
      </c>
      <c r="C32" s="35"/>
      <c r="D32" s="32" t="str">
        <f>IFERROR(VLOOKUP(C32,DATOS!$E$2:$F$200,2,FALSE),"Sin Datos")</f>
        <v>Sin Datos</v>
      </c>
      <c r="E32" s="35"/>
      <c r="F32" s="38"/>
      <c r="G32" s="38"/>
      <c r="H32" s="38"/>
      <c r="I32" s="41"/>
      <c r="J32" s="29"/>
      <c r="K32" s="32" t="str">
        <f>IFERROR(VLOOKUP(J32,DATOS!$J$2:$K$5,2,FALSE),"SIN PARO")</f>
        <v>SIN PARO</v>
      </c>
      <c r="L32" s="49"/>
    </row>
  </sheetData>
  <sheetProtection algorithmName="SHA-512" hashValue="7UXIy8UTholPzUABiBWRoqDXh7gKPTNUo000HmU14jg6+KQrb7n594pUFr2soZ0/jt4QzwFFuTcL3HLqyFzk5A==" saltValue="X47bmG3bHJ1QtbWm73xmV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4"/>
  <sheetViews>
    <sheetView topLeftCell="A2" workbookViewId="0">
      <selection activeCell="A2" sqref="A2:P4"/>
    </sheetView>
  </sheetViews>
  <sheetFormatPr baseColWidth="10" defaultRowHeight="15" x14ac:dyDescent="0.25"/>
  <cols>
    <col min="1" max="1" width="22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62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196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199</v>
      </c>
      <c r="O1" t="s">
        <v>26</v>
      </c>
      <c r="P1" t="s">
        <v>28</v>
      </c>
    </row>
    <row r="2" spans="1:16" x14ac:dyDescent="0.25">
      <c r="A2">
        <v>44426.237994907409</v>
      </c>
      <c r="B2" t="s">
        <v>228</v>
      </c>
      <c r="C2" t="s">
        <v>227</v>
      </c>
      <c r="D2" t="s">
        <v>19</v>
      </c>
      <c r="E2" t="s">
        <v>10</v>
      </c>
      <c r="F2" t="s">
        <v>224</v>
      </c>
      <c r="G2">
        <v>139</v>
      </c>
      <c r="H2" t="s">
        <v>170</v>
      </c>
      <c r="I2">
        <v>1004111</v>
      </c>
      <c r="J2">
        <v>1000</v>
      </c>
      <c r="O2" t="s">
        <v>229</v>
      </c>
    </row>
    <row r="3" spans="1:16" x14ac:dyDescent="0.25">
      <c r="A3">
        <v>44426.237994907409</v>
      </c>
      <c r="B3" t="s">
        <v>228</v>
      </c>
      <c r="C3" t="s">
        <v>227</v>
      </c>
      <c r="D3" t="s">
        <v>19</v>
      </c>
      <c r="E3" t="s">
        <v>226</v>
      </c>
      <c r="F3" t="s">
        <v>11</v>
      </c>
      <c r="G3">
        <v>139</v>
      </c>
      <c r="H3" t="s">
        <v>170</v>
      </c>
      <c r="I3">
        <v>1004111</v>
      </c>
      <c r="J3">
        <v>400</v>
      </c>
      <c r="O3" t="s">
        <v>229</v>
      </c>
    </row>
    <row r="4" spans="1:16" x14ac:dyDescent="0.25">
      <c r="A4">
        <v>44426.237994907409</v>
      </c>
      <c r="B4" t="s">
        <v>228</v>
      </c>
      <c r="C4" t="s">
        <v>227</v>
      </c>
      <c r="D4" t="s">
        <v>19</v>
      </c>
      <c r="E4" t="s">
        <v>29</v>
      </c>
      <c r="F4" t="s">
        <v>29</v>
      </c>
      <c r="G4">
        <v>139</v>
      </c>
      <c r="H4" t="s">
        <v>170</v>
      </c>
      <c r="I4">
        <v>1004111</v>
      </c>
      <c r="J4">
        <v>300</v>
      </c>
      <c r="O4" t="s">
        <v>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bogproduccion</cp:lastModifiedBy>
  <cp:lastPrinted>2021-07-02T20:07:54Z</cp:lastPrinted>
  <dcterms:created xsi:type="dcterms:W3CDTF">2021-07-01T16:57:07Z</dcterms:created>
  <dcterms:modified xsi:type="dcterms:W3CDTF">2021-08-18T10:42:52Z</dcterms:modified>
</cp:coreProperties>
</file>