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10.40.56.141\produccion\"/>
    </mc:Choice>
  </mc:AlternateContent>
  <xr:revisionPtr revIDLastSave="0" documentId="13_ncr:1_{4AFD53F2-3135-45BD-A9DA-A7C06D83D90B}" xr6:coauthVersionLast="47" xr6:coauthVersionMax="47" xr10:uidLastSave="{00000000-0000-0000-0000-000000000000}"/>
  <bookViews>
    <workbookView xWindow="20370" yWindow="-120" windowWidth="29040" windowHeight="1584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  <definedName name="_xlnm._FilterDatabase" localSheetId="2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5" i="3" l="1"/>
  <c r="K65" i="3"/>
  <c r="D66" i="3"/>
  <c r="K66" i="3"/>
  <c r="D67" i="3"/>
  <c r="K67" i="3"/>
  <c r="D68" i="3"/>
  <c r="K68" i="3"/>
  <c r="D69" i="3"/>
  <c r="K69" i="3"/>
  <c r="D70" i="3"/>
  <c r="K70" i="3"/>
  <c r="D71" i="3"/>
  <c r="K71" i="3"/>
  <c r="D72" i="3"/>
  <c r="K72" i="3"/>
  <c r="D73" i="3"/>
  <c r="K73" i="3"/>
  <c r="D74" i="3"/>
  <c r="K74" i="3"/>
  <c r="D75" i="3"/>
  <c r="K75" i="3"/>
  <c r="D76" i="3"/>
  <c r="K76" i="3"/>
  <c r="D77" i="3"/>
  <c r="K77" i="3"/>
  <c r="D78" i="3"/>
  <c r="K78" i="3"/>
  <c r="D79" i="3"/>
  <c r="K79" i="3"/>
  <c r="D89" i="3" l="1"/>
  <c r="K89" i="3"/>
  <c r="D90" i="3"/>
  <c r="K90" i="3"/>
  <c r="K116" i="3"/>
  <c r="K117" i="3"/>
  <c r="K118" i="3"/>
  <c r="K119" i="3"/>
  <c r="K111" i="3"/>
  <c r="K112" i="3"/>
  <c r="K113" i="3"/>
  <c r="K114" i="3"/>
  <c r="K115" i="3"/>
  <c r="D116" i="3"/>
  <c r="D117" i="3"/>
  <c r="D118" i="3"/>
  <c r="D11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80" i="3"/>
  <c r="D81" i="3"/>
  <c r="D82" i="3"/>
  <c r="D83" i="3"/>
  <c r="D84" i="3"/>
  <c r="D85" i="3"/>
  <c r="D86" i="3"/>
  <c r="D87" i="3"/>
  <c r="D88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K11" i="3"/>
  <c r="K12" i="3"/>
  <c r="K9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80" i="3"/>
  <c r="K81" i="3"/>
  <c r="K82" i="3"/>
  <c r="K83" i="3"/>
  <c r="K84" i="3"/>
  <c r="K85" i="3"/>
  <c r="K86" i="3"/>
  <c r="K87" i="3"/>
  <c r="K88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D9" i="3"/>
  <c r="K10" i="3" l="1"/>
  <c r="K13" i="3"/>
  <c r="B6" i="3" l="1"/>
</calcChain>
</file>

<file path=xl/sharedStrings.xml><?xml version="1.0" encoding="utf-8"?>
<sst xmlns="http://schemas.openxmlformats.org/spreadsheetml/2006/main" count="739" uniqueCount="322">
  <si>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</si>
  <si>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</si>
  <si>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</si>
  <si>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</si>
  <si>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</si>
  <si>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</si>
  <si>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</si>
  <si>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</si>
  <si>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</si>
  <si>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</si>
  <si>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</si>
  <si>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</si>
  <si>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</si>
  <si>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</si>
  <si>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</si>
  <si>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</si>
  <si>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</si>
  <si>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</si>
  <si>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</si>
  <si>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</si>
  <si>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</si>
  <si>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</si>
  <si>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</si>
  <si>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</si>
  <si>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</si>
  <si>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</si>
  <si>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</si>
  <si>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</si>
  <si>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</si>
  <si>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</si>
  <si>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</si>
  <si>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</si>
  <si>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</si>
  <si>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</si>
  <si>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</si>
  <si>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</si>
  <si>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</si>
  <si>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</si>
  <si>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</si>
  <si>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</si>
  <si>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</si>
  <si>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</si>
  <si>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</si>
  <si>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</si>
  <si>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</si>
  <si>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</si>
  <si>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</si>
  <si>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</si>
  <si>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</si>
  <si>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</si>
  <si>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</si>
  <si>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</si>
  <si>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</si>
  <si>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</si>
  <si>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</si>
  <si>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</si>
  <si>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</si>
  <si>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</si>
  <si>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</si>
  <si>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</si>
  <si>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</si>
  <si>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</si>
  <si>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</si>
  <si>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</si>
  <si>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</si>
  <si>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</si>
  <si>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</si>
  <si>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</si>
  <si>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</si>
  <si>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</si>
  <si>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</si>
  <si>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</si>
  <si>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</si>
  <si>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</si>
  <si>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</si>
  <si>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</si>
  <si>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</si>
  <si>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</si>
  <si>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</si>
  <si>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</si>
  <si>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</si>
  <si>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</si>
  <si>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</si>
  <si>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</si>
  <si>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</si>
  <si>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</si>
  <si>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</si>
  <si>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</si>
  <si>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</si>
  <si>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</si>
  <si>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</si>
  <si>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</si>
  <si>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</si>
  <si>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</si>
  <si>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</si>
  <si>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</si>
  <si>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</si>
  <si>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</si>
  <si>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</si>
  <si>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</si>
  <si>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</si>
  <si>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</si>
  <si>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</si>
  <si>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</si>
  <si>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</si>
  <si>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</si>
  <si>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</si>
  <si>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</si>
  <si>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</si>
  <si>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</si>
  <si>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</si>
  <si>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</si>
  <si>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</si>
  <si>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</si>
  <si>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</si>
  <si>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</si>
  <si>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</si>
  <si>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</si>
  <si>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</si>
  <si>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</si>
  <si>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</si>
  <si>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</si>
  <si>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</si>
  <si>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</si>
  <si>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</si>
  <si>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</si>
  <si>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</si>
  <si>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</si>
  <si>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</si>
  <si>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</si>
  <si>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</si>
  <si>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</si>
  <si>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</si>
  <si>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</si>
  <si>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</si>
  <si>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</si>
  <si>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</si>
  <si>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</si>
  <si>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</si>
  <si>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</si>
  <si>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</si>
  <si>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</si>
  <si>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</si>
  <si>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</si>
  <si>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</si>
  <si>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</si>
  <si>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</si>
  <si>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</si>
  <si>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</si>
  <si>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</si>
  <si>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</si>
  <si>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</si>
  <si>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</si>
  <si>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</si>
  <si>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</si>
  <si>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</si>
  <si>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</si>
  <si>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</si>
  <si>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</si>
  <si>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</si>
  <si>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</si>
  <si>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</si>
  <si>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</si>
  <si>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</si>
  <si>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</si>
  <si>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</si>
  <si>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</si>
  <si>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</si>
  <si>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</si>
  <si>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</si>
  <si>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</si>
  <si>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</si>
  <si>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</si>
  <si>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</si>
  <si>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</si>
  <si>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</si>
  <si>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</si>
  <si>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</si>
  <si>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</si>
  <si>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</si>
  <si>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</si>
  <si>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</si>
  <si>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</si>
  <si>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</si>
  <si>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</si>
  <si>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</si>
  <si>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</si>
  <si>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</si>
  <si>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</si>
  <si>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</si>
  <si>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</si>
  <si>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</si>
  <si>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</si>
  <si>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</si>
  <si>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</si>
  <si>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</si>
  <si>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</si>
  <si>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</si>
  <si>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</si>
  <si>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</si>
  <si>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</si>
  <si>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</si>
  <si>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</si>
  <si>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</si>
  <si>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</si>
  <si>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</si>
  <si>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</si>
  <si>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</si>
  <si>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</si>
  <si>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</si>
  <si>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</si>
  <si>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</si>
  <si>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</si>
  <si>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</si>
  <si>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</si>
  <si>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</si>
  <si>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</si>
  <si>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</si>
  <si>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</si>
  <si>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</si>
  <si>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</si>
  <si>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</si>
  <si>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</si>
  <si>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</si>
  <si>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</si>
  <si>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</si>
  <si>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</si>
  <si>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</si>
  <si>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</si>
  <si>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</si>
  <si>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</si>
  <si>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</si>
  <si>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</si>
  <si>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</si>
  <si>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</si>
  <si>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</si>
  <si>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</si>
  <si>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</si>
  <si>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</si>
  <si>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</si>
  <si>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</si>
  <si>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</si>
  <si>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</si>
  <si>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</si>
  <si>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</si>
  <si>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</si>
  <si>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</si>
  <si>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</si>
  <si>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</si>
  <si>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</si>
  <si>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</si>
  <si>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</si>
  <si>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</si>
  <si>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</si>
  <si>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</si>
  <si>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</si>
  <si>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</si>
  <si>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</si>
  <si>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</si>
  <si>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</si>
  <si>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</si>
  <si>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</si>
  <si>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APENDICE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</si>
  <si>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</si>
  <si>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</si>
  <si>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</si>
  <si>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</si>
  <si>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</si>
  <si>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</si>
  <si>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</si>
  <si>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</si>
  <si>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</si>
  <si>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</si>
  <si>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</si>
  <si>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</si>
  <si>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</si>
  <si>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</si>
  <si>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SIN PARO</t>
  </si>
  <si>
    <t>6510382-04CON</t>
  </si>
  <si>
    <t>6510383-04CON</t>
  </si>
  <si>
    <t>6510384-04CON</t>
  </si>
  <si>
    <t>6518223CON</t>
  </si>
  <si>
    <t>6518224-03CON</t>
  </si>
  <si>
    <t>6530334CON</t>
  </si>
  <si>
    <t>6510374CON</t>
  </si>
  <si>
    <t>6510375CON</t>
  </si>
  <si>
    <t>6510601-00CON</t>
  </si>
  <si>
    <t>CAPERA LAURA JIMENA</t>
  </si>
  <si>
    <t>GARAY ANA MILENA</t>
  </si>
  <si>
    <t>GUTIERREZ JULIET ANDREA</t>
  </si>
  <si>
    <t>MANUAL 1</t>
  </si>
  <si>
    <t>MANUAL 2</t>
  </si>
  <si>
    <t>OLIVEROS DE AVILA YEISON</t>
  </si>
  <si>
    <t xml:space="preserve">GRANADOS GONZALEZ YESID FERNANDO </t>
  </si>
  <si>
    <t>MERCADO MESA ALVARO JAVIER</t>
  </si>
  <si>
    <t>RAMIREZ FRENCH JUAN SEBASTIAN</t>
  </si>
  <si>
    <t>SOLDADURA ESTAÑO</t>
  </si>
  <si>
    <t>LINEAS DE SUCCION</t>
  </si>
  <si>
    <t>ENROLLADO CAPILAR</t>
  </si>
  <si>
    <t>COLOCAR Y QUEMAR MANGUERA</t>
  </si>
  <si>
    <t>ENHEBRADO EXTENSION APENDICE</t>
  </si>
  <si>
    <t>DOBLADO TUBO DE COBRE</t>
  </si>
  <si>
    <t>CORTE ARMFLEX</t>
  </si>
  <si>
    <t>PUNZONADO APENDICE</t>
  </si>
  <si>
    <t>CORTE MANGUERA TERMOENCOGIBLE</t>
  </si>
  <si>
    <t>TRABAJO CON BRIYHIT Y LAURA CAPERA</t>
  </si>
  <si>
    <t>TROQUEL SE TRABA 2 VECES REVISAR SI LE FALTA LUBRICACION</t>
  </si>
  <si>
    <t>NR-5187C1</t>
  </si>
  <si>
    <t>NR-5186C1</t>
  </si>
  <si>
    <t>NR-5186C2</t>
  </si>
  <si>
    <t>NR-5187C2</t>
  </si>
  <si>
    <t>BALLEN SILVA VALENTINA</t>
  </si>
  <si>
    <t>BRICEÑO MURCIA BRANDON ABRAHAM</t>
  </si>
  <si>
    <t>VELASCO TRIVIÑO HELBER ANDRES</t>
  </si>
  <si>
    <t>RODRIGUEZ MEJIA JOSE ALIRIO</t>
  </si>
  <si>
    <t>PEREZ SALCEDO LUIS EDUARDO</t>
  </si>
  <si>
    <t>test</t>
  </si>
  <si>
    <t>MUÑOZ TORRES EDWIN STEVEN</t>
  </si>
  <si>
    <t>ROMERO YARA WILSON GUSTAVO</t>
  </si>
  <si>
    <t>PEREZ VELANDIA EDWAR ALFREDO</t>
  </si>
  <si>
    <t>GARCIA RODRIGUEZ SAMUEL WILINDER</t>
  </si>
  <si>
    <t>SIERRA SUAREZ YAIR ANDRES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</si>
</sst>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medium">
        <color indexed="64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103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165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4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4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0" fillId="0" borderId="0" xfId="0" applyFont="1"/>
    <xf numFmtId="0" fontId="2" fillId="2" borderId="31" xfId="0" applyFont="1" applyFill="1" applyBorder="1" applyAlignment="1" applyProtection="1">
      <alignment horizontal="center" vertical="center" wrapText="1"/>
    </xf>
    <xf numFmtId="0" fontId="2" fillId="3" borderId="32" xfId="0" applyFont="1" applyFill="1" applyBorder="1" applyAlignment="1" applyProtection="1">
      <alignment horizontal="center" vertical="center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2" fillId="3" borderId="33" xfId="0" applyFont="1" applyFill="1" applyBorder="1" applyAlignment="1" applyProtection="1">
      <alignment horizontal="center" vertical="center"/>
    </xf>
    <xf numFmtId="1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Font="1" applyFill="1" applyBorder="1" applyAlignment="1" applyProtection="1">
      <alignment horizontal="center" vertical="center"/>
      <protection locked="0"/>
    </xf>
    <xf numFmtId="0" fontId="2" fillId="3" borderId="34" xfId="0" applyFont="1" applyFill="1" applyBorder="1" applyAlignment="1" applyProtection="1">
      <alignment horizontal="center" vertical="center"/>
      <protection locked="0"/>
    </xf>
    <xf numFmtId="164" fontId="7" fillId="3" borderId="35" xfId="0" applyNumberFormat="1" applyFont="1" applyFill="1" applyBorder="1" applyAlignment="1" applyProtection="1">
      <alignment vertical="center"/>
      <protection locked="0"/>
    </xf>
    <xf numFmtId="0" fontId="0" fillId="0" borderId="7" xfId="0" applyBorder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0" fontId="2" fillId="3" borderId="14" xfId="0" applyFont="1" applyFill="1" applyBorder="1" applyAlignment="1" applyProtection="1">
      <alignment horizontal="center" vertical="center" wrapText="1"/>
    </xf>
    <xf numFmtId="0" fontId="2" fillId="3" borderId="15" xfId="0" applyFont="1" applyFill="1" applyBorder="1" applyAlignment="1" applyProtection="1">
      <alignment horizontal="center" vertical="center" wrapText="1"/>
    </xf>
    <xf numFmtId="0" fontId="2" fillId="3" borderId="13" xfId="0" applyFont="1" applyFill="1" applyBorder="1" applyAlignment="1" applyProtection="1">
      <alignment horizontal="center" vertical="center" wrapText="1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  <xf numFmtId="0" fontId="0" fillId="0" borderId="36" xfId="0" applyBorder="1"/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1562100</xdr:colOff>
          <xdr:row>3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93"/>
  <sheetViews>
    <sheetView workbookViewId="0">
      <selection activeCell="F1" sqref="F1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4.7109375" bestFit="1" customWidth="1"/>
    <col min="9" max="9" width="7.140625" customWidth="1"/>
    <col min="10" max="10" width="3.140625" customWidth="1"/>
    <col min="11" max="11" width="40.5703125" bestFit="1" customWidth="1"/>
  </cols>
  <sheetData>
    <row r="1" spans="1:11" x14ac:dyDescent="0.25">
      <c r="A1" s="21" t="s">
        <v>15</v>
      </c>
      <c r="C1" s="21" t="s">
        <v>16</v>
      </c>
      <c r="E1" s="88" t="s">
        <v>205</v>
      </c>
      <c r="F1" s="89" t="s">
        <v>206</v>
      </c>
      <c r="G1" s="10"/>
      <c r="H1" s="23" t="s">
        <v>33</v>
      </c>
      <c r="J1" s="94" t="s">
        <v>34</v>
      </c>
      <c r="K1" s="94"/>
    </row>
    <row r="2" spans="1:11" x14ac:dyDescent="0.25">
      <c r="A2" s="20" t="s">
        <v>234</v>
      </c>
      <c r="C2" s="20" t="s">
        <v>18</v>
      </c>
      <c r="E2" s="90">
        <v>999</v>
      </c>
      <c r="F2" s="87" t="s">
        <v>223</v>
      </c>
      <c r="H2" s="41">
        <v>6530334</v>
      </c>
      <c r="I2" t="s">
        <v>198</v>
      </c>
      <c r="J2" s="22">
        <v>1</v>
      </c>
      <c r="K2" s="20" t="s">
        <v>195</v>
      </c>
    </row>
    <row r="3" spans="1:11" x14ac:dyDescent="0.25">
      <c r="A3" s="20" t="s">
        <v>17</v>
      </c>
      <c r="C3" s="20" t="s">
        <v>19</v>
      </c>
      <c r="E3" s="90">
        <v>1</v>
      </c>
      <c r="F3" s="87" t="s">
        <v>35</v>
      </c>
      <c r="H3" s="41" t="s">
        <v>226</v>
      </c>
      <c r="J3" s="22">
        <v>2</v>
      </c>
      <c r="K3" s="20" t="s">
        <v>207</v>
      </c>
    </row>
    <row r="4" spans="1:11" x14ac:dyDescent="0.25">
      <c r="A4" s="20" t="s">
        <v>204</v>
      </c>
      <c r="C4" s="20" t="s">
        <v>21</v>
      </c>
      <c r="E4" s="90">
        <v>2</v>
      </c>
      <c r="F4" s="87" t="s">
        <v>36</v>
      </c>
      <c r="H4" s="41" t="s">
        <v>227</v>
      </c>
      <c r="J4" s="22">
        <v>3</v>
      </c>
      <c r="K4" s="20" t="s">
        <v>208</v>
      </c>
    </row>
    <row r="5" spans="1:11" x14ac:dyDescent="0.25">
      <c r="A5" s="46" t="s">
        <v>235</v>
      </c>
      <c r="C5" s="20" t="s">
        <v>20</v>
      </c>
      <c r="E5" s="90">
        <v>3</v>
      </c>
      <c r="F5" s="87" t="s">
        <v>37</v>
      </c>
      <c r="H5" s="41" t="s">
        <v>228</v>
      </c>
      <c r="J5" s="22">
        <v>4</v>
      </c>
      <c r="K5" s="20" t="s">
        <v>196</v>
      </c>
    </row>
    <row r="6" spans="1:11" x14ac:dyDescent="0.25">
      <c r="A6" s="46" t="s">
        <v>259</v>
      </c>
      <c r="C6" s="20" t="s">
        <v>22</v>
      </c>
      <c r="E6" s="90">
        <v>4</v>
      </c>
      <c r="F6" s="87" t="s">
        <v>38</v>
      </c>
      <c r="H6" s="41" t="s">
        <v>229</v>
      </c>
    </row>
    <row r="7" spans="1:11" x14ac:dyDescent="0.25">
      <c r="C7" s="20" t="s">
        <v>23</v>
      </c>
      <c r="E7" s="90">
        <v>5</v>
      </c>
      <c r="F7" s="87" t="s">
        <v>39</v>
      </c>
      <c r="H7" s="41" t="s">
        <v>230</v>
      </c>
    </row>
    <row r="8" spans="1:11" x14ac:dyDescent="0.25">
      <c r="E8" s="90">
        <v>6</v>
      </c>
      <c r="F8" s="87" t="s">
        <v>40</v>
      </c>
      <c r="H8" s="41" t="s">
        <v>231</v>
      </c>
    </row>
    <row r="9" spans="1:11" x14ac:dyDescent="0.25">
      <c r="E9" s="90">
        <v>7</v>
      </c>
      <c r="F9" s="87" t="s">
        <v>41</v>
      </c>
      <c r="H9" s="41" t="s">
        <v>232</v>
      </c>
    </row>
    <row r="10" spans="1:11" x14ac:dyDescent="0.25">
      <c r="E10" s="90">
        <v>8</v>
      </c>
      <c r="F10" s="87" t="s">
        <v>42</v>
      </c>
      <c r="H10" s="41" t="s">
        <v>308</v>
      </c>
    </row>
    <row r="11" spans="1:11" x14ac:dyDescent="0.25">
      <c r="E11" s="90">
        <v>9</v>
      </c>
      <c r="F11" s="87" t="s">
        <v>43</v>
      </c>
      <c r="H11" s="41" t="s">
        <v>307</v>
      </c>
    </row>
    <row r="12" spans="1:11" x14ac:dyDescent="0.25">
      <c r="E12" s="90">
        <v>10</v>
      </c>
      <c r="F12" s="87" t="s">
        <v>44</v>
      </c>
      <c r="H12" s="41" t="s">
        <v>309</v>
      </c>
    </row>
    <row r="13" spans="1:11" x14ac:dyDescent="0.25">
      <c r="E13" s="90">
        <v>11</v>
      </c>
      <c r="F13" s="87" t="s">
        <v>45</v>
      </c>
      <c r="H13" s="41" t="s">
        <v>310</v>
      </c>
    </row>
    <row r="14" spans="1:11" x14ac:dyDescent="0.25">
      <c r="E14" s="90">
        <v>12</v>
      </c>
      <c r="F14" s="87" t="s">
        <v>46</v>
      </c>
      <c r="H14" s="41" t="s">
        <v>233</v>
      </c>
    </row>
    <row r="15" spans="1:11" x14ac:dyDescent="0.25">
      <c r="E15" s="90">
        <v>13</v>
      </c>
      <c r="F15" s="87" t="s">
        <v>47</v>
      </c>
      <c r="H15" s="41">
        <v>6518223</v>
      </c>
    </row>
    <row r="16" spans="1:11" x14ac:dyDescent="0.25">
      <c r="E16" s="90">
        <v>14</v>
      </c>
      <c r="F16" s="87" t="s">
        <v>48</v>
      </c>
      <c r="H16" s="41">
        <v>1004968</v>
      </c>
    </row>
    <row r="17" spans="5:8" x14ac:dyDescent="0.25">
      <c r="E17" s="90">
        <v>15</v>
      </c>
      <c r="F17" s="87" t="s">
        <v>49</v>
      </c>
      <c r="H17" s="41">
        <v>1006110</v>
      </c>
    </row>
    <row r="18" spans="5:8" x14ac:dyDescent="0.25">
      <c r="E18" s="90">
        <v>16</v>
      </c>
      <c r="F18" s="87" t="s">
        <v>50</v>
      </c>
      <c r="H18" s="20" t="s">
        <v>263</v>
      </c>
    </row>
    <row r="19" spans="5:8" x14ac:dyDescent="0.25">
      <c r="E19" s="90">
        <v>17</v>
      </c>
      <c r="F19" s="87" t="s">
        <v>51</v>
      </c>
      <c r="H19" s="20" t="s">
        <v>266</v>
      </c>
    </row>
    <row r="20" spans="5:8" x14ac:dyDescent="0.25">
      <c r="E20" s="90">
        <v>18</v>
      </c>
      <c r="F20" s="87" t="s">
        <v>52</v>
      </c>
      <c r="H20" s="20" t="s">
        <v>264</v>
      </c>
    </row>
    <row r="21" spans="5:8" x14ac:dyDescent="0.25">
      <c r="E21" s="90">
        <v>19</v>
      </c>
      <c r="F21" s="87" t="s">
        <v>53</v>
      </c>
      <c r="H21" s="20" t="s">
        <v>267</v>
      </c>
    </row>
    <row r="22" spans="5:8" x14ac:dyDescent="0.25">
      <c r="E22" s="90">
        <v>20</v>
      </c>
      <c r="F22" s="87" t="s">
        <v>54</v>
      </c>
      <c r="H22" s="20" t="s">
        <v>265</v>
      </c>
    </row>
    <row r="23" spans="5:8" x14ac:dyDescent="0.25">
      <c r="E23" s="90">
        <v>21</v>
      </c>
      <c r="F23" s="87" t="s">
        <v>55</v>
      </c>
      <c r="H23" s="20" t="s">
        <v>268</v>
      </c>
    </row>
    <row r="24" spans="5:8" x14ac:dyDescent="0.25">
      <c r="E24" s="90">
        <v>22</v>
      </c>
      <c r="F24" s="87" t="s">
        <v>56</v>
      </c>
      <c r="H24" s="20" t="s">
        <v>269</v>
      </c>
    </row>
    <row r="25" spans="5:8" x14ac:dyDescent="0.25">
      <c r="E25" s="90">
        <v>23</v>
      </c>
      <c r="F25" s="87" t="s">
        <v>57</v>
      </c>
      <c r="H25" s="20" t="s">
        <v>270</v>
      </c>
    </row>
    <row r="26" spans="5:8" x14ac:dyDescent="0.25">
      <c r="E26" s="90">
        <v>24</v>
      </c>
      <c r="F26" s="87" t="s">
        <v>58</v>
      </c>
      <c r="H26" s="20" t="s">
        <v>271</v>
      </c>
    </row>
    <row r="27" spans="5:8" x14ac:dyDescent="0.25">
      <c r="E27" s="90">
        <v>25</v>
      </c>
      <c r="F27" s="87" t="s">
        <v>59</v>
      </c>
      <c r="H27" s="20" t="s">
        <v>272</v>
      </c>
    </row>
    <row r="28" spans="5:8" x14ac:dyDescent="0.25">
      <c r="E28" s="90">
        <v>26</v>
      </c>
      <c r="F28" s="87" t="s">
        <v>60</v>
      </c>
      <c r="H28" s="20" t="s">
        <v>273</v>
      </c>
    </row>
    <row r="29" spans="5:8" x14ac:dyDescent="0.25">
      <c r="E29" s="90">
        <v>27</v>
      </c>
      <c r="F29" s="87" t="s">
        <v>61</v>
      </c>
      <c r="H29" s="20" t="s">
        <v>274</v>
      </c>
    </row>
    <row r="30" spans="5:8" x14ac:dyDescent="0.25">
      <c r="E30" s="90">
        <v>28</v>
      </c>
      <c r="F30" s="87" t="s">
        <v>62</v>
      </c>
      <c r="H30" s="20" t="s">
        <v>275</v>
      </c>
    </row>
    <row r="31" spans="5:8" x14ac:dyDescent="0.25">
      <c r="E31" s="90">
        <v>29</v>
      </c>
      <c r="F31" s="87" t="s">
        <v>63</v>
      </c>
      <c r="H31" s="20" t="s">
        <v>276</v>
      </c>
    </row>
    <row r="32" spans="5:8" x14ac:dyDescent="0.25">
      <c r="E32" s="90">
        <v>30</v>
      </c>
      <c r="F32" s="87" t="s">
        <v>64</v>
      </c>
      <c r="H32" s="46" t="s">
        <v>278</v>
      </c>
    </row>
    <row r="33" spans="5:8" x14ac:dyDescent="0.25">
      <c r="E33" s="90">
        <v>31</v>
      </c>
      <c r="F33" s="87" t="s">
        <v>65</v>
      </c>
      <c r="H33" s="46" t="s">
        <v>279</v>
      </c>
    </row>
    <row r="34" spans="5:8" x14ac:dyDescent="0.25">
      <c r="E34" s="90">
        <v>32</v>
      </c>
      <c r="F34" s="87" t="s">
        <v>66</v>
      </c>
      <c r="H34" s="46" t="s">
        <v>280</v>
      </c>
    </row>
    <row r="35" spans="5:8" x14ac:dyDescent="0.25">
      <c r="E35" s="90">
        <v>33</v>
      </c>
      <c r="F35" s="87" t="s">
        <v>67</v>
      </c>
      <c r="H35" s="46" t="s">
        <v>281</v>
      </c>
    </row>
    <row r="36" spans="5:8" x14ac:dyDescent="0.25">
      <c r="E36" s="90">
        <v>34</v>
      </c>
      <c r="F36" s="87" t="s">
        <v>68</v>
      </c>
      <c r="H36" s="46" t="s">
        <v>282</v>
      </c>
    </row>
    <row r="37" spans="5:8" x14ac:dyDescent="0.25">
      <c r="E37" s="90">
        <v>35</v>
      </c>
      <c r="F37" s="87" t="s">
        <v>69</v>
      </c>
      <c r="H37" s="46" t="s">
        <v>283</v>
      </c>
    </row>
    <row r="38" spans="5:8" x14ac:dyDescent="0.25">
      <c r="E38" s="90">
        <v>36</v>
      </c>
      <c r="F38" s="87" t="s">
        <v>70</v>
      </c>
      <c r="H38" s="46" t="s">
        <v>284</v>
      </c>
    </row>
    <row r="39" spans="5:8" x14ac:dyDescent="0.25">
      <c r="E39" s="90">
        <v>37</v>
      </c>
      <c r="F39" s="87" t="s">
        <v>71</v>
      </c>
      <c r="H39" s="46" t="s">
        <v>285</v>
      </c>
    </row>
    <row r="40" spans="5:8" x14ac:dyDescent="0.25">
      <c r="E40" s="90">
        <v>38</v>
      </c>
      <c r="F40" s="87" t="s">
        <v>72</v>
      </c>
      <c r="H40" s="46" t="s">
        <v>286</v>
      </c>
    </row>
    <row r="41" spans="5:8" x14ac:dyDescent="0.25">
      <c r="E41" s="90">
        <v>39</v>
      </c>
      <c r="F41" s="87" t="s">
        <v>73</v>
      </c>
    </row>
    <row r="42" spans="5:8" x14ac:dyDescent="0.25">
      <c r="E42" s="90">
        <v>40</v>
      </c>
      <c r="F42" s="87" t="s">
        <v>74</v>
      </c>
    </row>
    <row r="43" spans="5:8" x14ac:dyDescent="0.25">
      <c r="E43" s="90">
        <v>41</v>
      </c>
      <c r="F43" s="87" t="s">
        <v>75</v>
      </c>
    </row>
    <row r="44" spans="5:8" x14ac:dyDescent="0.25">
      <c r="E44" s="90">
        <v>42</v>
      </c>
      <c r="F44" s="87" t="s">
        <v>76</v>
      </c>
    </row>
    <row r="45" spans="5:8" x14ac:dyDescent="0.25">
      <c r="E45" s="90">
        <v>43</v>
      </c>
      <c r="F45" s="87" t="s">
        <v>77</v>
      </c>
    </row>
    <row r="46" spans="5:8" x14ac:dyDescent="0.25">
      <c r="E46" s="90">
        <v>44</v>
      </c>
      <c r="F46" s="87" t="s">
        <v>78</v>
      </c>
    </row>
    <row r="47" spans="5:8" x14ac:dyDescent="0.25">
      <c r="E47" s="90">
        <v>45</v>
      </c>
      <c r="F47" s="87" t="s">
        <v>79</v>
      </c>
    </row>
    <row r="48" spans="5:8" x14ac:dyDescent="0.25">
      <c r="E48" s="90">
        <v>46</v>
      </c>
      <c r="F48" s="87" t="s">
        <v>80</v>
      </c>
    </row>
    <row r="49" spans="5:6" x14ac:dyDescent="0.25">
      <c r="E49" s="90">
        <v>47</v>
      </c>
      <c r="F49" s="87" t="s">
        <v>81</v>
      </c>
    </row>
    <row r="50" spans="5:6" x14ac:dyDescent="0.25">
      <c r="E50" s="90">
        <v>48</v>
      </c>
      <c r="F50" s="87" t="s">
        <v>82</v>
      </c>
    </row>
    <row r="51" spans="5:6" x14ac:dyDescent="0.25">
      <c r="E51" s="90">
        <v>49</v>
      </c>
      <c r="F51" s="87" t="s">
        <v>83</v>
      </c>
    </row>
    <row r="52" spans="5:6" x14ac:dyDescent="0.25">
      <c r="E52" s="90">
        <v>50</v>
      </c>
      <c r="F52" s="87" t="s">
        <v>84</v>
      </c>
    </row>
    <row r="53" spans="5:6" x14ac:dyDescent="0.25">
      <c r="E53" s="90">
        <v>51</v>
      </c>
      <c r="F53" s="87" t="s">
        <v>85</v>
      </c>
    </row>
    <row r="54" spans="5:6" x14ac:dyDescent="0.25">
      <c r="E54" s="90">
        <v>52</v>
      </c>
      <c r="F54" s="87" t="s">
        <v>86</v>
      </c>
    </row>
    <row r="55" spans="5:6" x14ac:dyDescent="0.25">
      <c r="E55" s="90">
        <v>53</v>
      </c>
      <c r="F55" s="87" t="s">
        <v>87</v>
      </c>
    </row>
    <row r="56" spans="5:6" x14ac:dyDescent="0.25">
      <c r="E56" s="90">
        <v>54</v>
      </c>
      <c r="F56" s="87" t="s">
        <v>88</v>
      </c>
    </row>
    <row r="57" spans="5:6" x14ac:dyDescent="0.25">
      <c r="E57" s="90">
        <v>55</v>
      </c>
      <c r="F57" s="87" t="s">
        <v>89</v>
      </c>
    </row>
    <row r="58" spans="5:6" x14ac:dyDescent="0.25">
      <c r="E58" s="90">
        <v>56</v>
      </c>
      <c r="F58" s="87" t="s">
        <v>90</v>
      </c>
    </row>
    <row r="59" spans="5:6" x14ac:dyDescent="0.25">
      <c r="E59" s="90">
        <v>57</v>
      </c>
      <c r="F59" s="87" t="s">
        <v>91</v>
      </c>
    </row>
    <row r="60" spans="5:6" x14ac:dyDescent="0.25">
      <c r="E60" s="90">
        <v>58</v>
      </c>
      <c r="F60" s="87" t="s">
        <v>92</v>
      </c>
    </row>
    <row r="61" spans="5:6" x14ac:dyDescent="0.25">
      <c r="E61" s="90">
        <v>59</v>
      </c>
      <c r="F61" s="87" t="s">
        <v>93</v>
      </c>
    </row>
    <row r="62" spans="5:6" x14ac:dyDescent="0.25">
      <c r="E62" s="90">
        <v>60</v>
      </c>
      <c r="F62" s="87" t="s">
        <v>94</v>
      </c>
    </row>
    <row r="63" spans="5:6" x14ac:dyDescent="0.25">
      <c r="E63" s="90">
        <v>61</v>
      </c>
      <c r="F63" s="87" t="s">
        <v>95</v>
      </c>
    </row>
    <row r="64" spans="5:6" x14ac:dyDescent="0.25">
      <c r="E64" s="90">
        <v>62</v>
      </c>
      <c r="F64" s="87" t="s">
        <v>96</v>
      </c>
    </row>
    <row r="65" spans="5:6" x14ac:dyDescent="0.25">
      <c r="E65" s="90">
        <v>63</v>
      </c>
      <c r="F65" s="87" t="s">
        <v>97</v>
      </c>
    </row>
    <row r="66" spans="5:6" x14ac:dyDescent="0.25">
      <c r="E66" s="90">
        <v>64</v>
      </c>
      <c r="F66" s="87" t="s">
        <v>98</v>
      </c>
    </row>
    <row r="67" spans="5:6" x14ac:dyDescent="0.25">
      <c r="E67" s="90">
        <v>65</v>
      </c>
      <c r="F67" s="87" t="s">
        <v>99</v>
      </c>
    </row>
    <row r="68" spans="5:6" x14ac:dyDescent="0.25">
      <c r="E68" s="90">
        <v>66</v>
      </c>
      <c r="F68" s="87" t="s">
        <v>100</v>
      </c>
    </row>
    <row r="69" spans="5:6" x14ac:dyDescent="0.25">
      <c r="E69" s="90">
        <v>67</v>
      </c>
      <c r="F69" s="87" t="s">
        <v>101</v>
      </c>
    </row>
    <row r="70" spans="5:6" x14ac:dyDescent="0.25">
      <c r="E70" s="90">
        <v>68</v>
      </c>
      <c r="F70" s="87" t="s">
        <v>102</v>
      </c>
    </row>
    <row r="71" spans="5:6" x14ac:dyDescent="0.25">
      <c r="E71" s="90">
        <v>69</v>
      </c>
      <c r="F71" s="87" t="s">
        <v>103</v>
      </c>
    </row>
    <row r="72" spans="5:6" x14ac:dyDescent="0.25">
      <c r="E72" s="90">
        <v>70</v>
      </c>
      <c r="F72" s="87" t="s">
        <v>104</v>
      </c>
    </row>
    <row r="73" spans="5:6" x14ac:dyDescent="0.25">
      <c r="E73" s="90">
        <v>71</v>
      </c>
      <c r="F73" s="87" t="s">
        <v>105</v>
      </c>
    </row>
    <row r="74" spans="5:6" x14ac:dyDescent="0.25">
      <c r="E74" s="90">
        <v>72</v>
      </c>
      <c r="F74" s="87" t="s">
        <v>106</v>
      </c>
    </row>
    <row r="75" spans="5:6" x14ac:dyDescent="0.25">
      <c r="E75" s="90">
        <v>73</v>
      </c>
      <c r="F75" s="87" t="s">
        <v>107</v>
      </c>
    </row>
    <row r="76" spans="5:6" x14ac:dyDescent="0.25">
      <c r="E76" s="90">
        <v>74</v>
      </c>
      <c r="F76" s="87" t="s">
        <v>108</v>
      </c>
    </row>
    <row r="77" spans="5:6" x14ac:dyDescent="0.25">
      <c r="E77" s="90">
        <v>75</v>
      </c>
      <c r="F77" s="87" t="s">
        <v>109</v>
      </c>
    </row>
    <row r="78" spans="5:6" x14ac:dyDescent="0.25">
      <c r="E78" s="90">
        <v>76</v>
      </c>
      <c r="F78" s="87" t="s">
        <v>110</v>
      </c>
    </row>
    <row r="79" spans="5:6" x14ac:dyDescent="0.25">
      <c r="E79" s="90">
        <v>77</v>
      </c>
      <c r="F79" s="87" t="s">
        <v>111</v>
      </c>
    </row>
    <row r="80" spans="5:6" x14ac:dyDescent="0.25">
      <c r="E80" s="90">
        <v>78</v>
      </c>
      <c r="F80" s="87" t="s">
        <v>112</v>
      </c>
    </row>
    <row r="81" spans="5:6" x14ac:dyDescent="0.25">
      <c r="E81" s="90">
        <v>79</v>
      </c>
      <c r="F81" s="87" t="s">
        <v>113</v>
      </c>
    </row>
    <row r="82" spans="5:6" x14ac:dyDescent="0.25">
      <c r="E82" s="90">
        <v>80</v>
      </c>
      <c r="F82" s="87" t="s">
        <v>114</v>
      </c>
    </row>
    <row r="83" spans="5:6" x14ac:dyDescent="0.25">
      <c r="E83" s="90">
        <v>81</v>
      </c>
      <c r="F83" s="87" t="s">
        <v>115</v>
      </c>
    </row>
    <row r="84" spans="5:6" x14ac:dyDescent="0.25">
      <c r="E84" s="90">
        <v>82</v>
      </c>
      <c r="F84" s="87" t="s">
        <v>116</v>
      </c>
    </row>
    <row r="85" spans="5:6" x14ac:dyDescent="0.25">
      <c r="E85" s="90">
        <v>83</v>
      </c>
      <c r="F85" s="87" t="s">
        <v>117</v>
      </c>
    </row>
    <row r="86" spans="5:6" x14ac:dyDescent="0.25">
      <c r="E86" s="90">
        <v>84</v>
      </c>
      <c r="F86" s="87" t="s">
        <v>118</v>
      </c>
    </row>
    <row r="87" spans="5:6" x14ac:dyDescent="0.25">
      <c r="E87" s="90">
        <v>85</v>
      </c>
      <c r="F87" s="87" t="s">
        <v>119</v>
      </c>
    </row>
    <row r="88" spans="5:6" x14ac:dyDescent="0.25">
      <c r="E88" s="90">
        <v>86</v>
      </c>
      <c r="F88" s="87" t="s">
        <v>120</v>
      </c>
    </row>
    <row r="89" spans="5:6" x14ac:dyDescent="0.25">
      <c r="E89" s="90">
        <v>87</v>
      </c>
      <c r="F89" s="87" t="s">
        <v>121</v>
      </c>
    </row>
    <row r="90" spans="5:6" x14ac:dyDescent="0.25">
      <c r="E90" s="90">
        <v>88</v>
      </c>
      <c r="F90" s="87" t="s">
        <v>122</v>
      </c>
    </row>
    <row r="91" spans="5:6" x14ac:dyDescent="0.25">
      <c r="E91" s="90">
        <v>89</v>
      </c>
      <c r="F91" s="87" t="s">
        <v>123</v>
      </c>
    </row>
    <row r="92" spans="5:6" x14ac:dyDescent="0.25">
      <c r="E92" s="90">
        <v>90</v>
      </c>
      <c r="F92" s="87" t="s">
        <v>124</v>
      </c>
    </row>
    <row r="93" spans="5:6" x14ac:dyDescent="0.25">
      <c r="E93" s="90">
        <v>91</v>
      </c>
      <c r="F93" s="87" t="s">
        <v>125</v>
      </c>
    </row>
    <row r="94" spans="5:6" x14ac:dyDescent="0.25">
      <c r="E94" s="90">
        <v>92</v>
      </c>
      <c r="F94" s="87" t="s">
        <v>126</v>
      </c>
    </row>
    <row r="95" spans="5:6" x14ac:dyDescent="0.25">
      <c r="E95" s="90">
        <v>93</v>
      </c>
      <c r="F95" s="87" t="s">
        <v>127</v>
      </c>
    </row>
    <row r="96" spans="5:6" x14ac:dyDescent="0.25">
      <c r="E96" s="90">
        <v>94</v>
      </c>
      <c r="F96" s="87" t="s">
        <v>128</v>
      </c>
    </row>
    <row r="97" spans="5:6" x14ac:dyDescent="0.25">
      <c r="E97" s="90">
        <v>95</v>
      </c>
      <c r="F97" s="87" t="s">
        <v>129</v>
      </c>
    </row>
    <row r="98" spans="5:6" x14ac:dyDescent="0.25">
      <c r="E98" s="90">
        <v>96</v>
      </c>
      <c r="F98" s="87" t="s">
        <v>130</v>
      </c>
    </row>
    <row r="99" spans="5:6" x14ac:dyDescent="0.25">
      <c r="E99" s="90">
        <v>97</v>
      </c>
      <c r="F99" s="87" t="s">
        <v>131</v>
      </c>
    </row>
    <row r="100" spans="5:6" x14ac:dyDescent="0.25">
      <c r="E100" s="90">
        <v>98</v>
      </c>
      <c r="F100" s="87" t="s">
        <v>132</v>
      </c>
    </row>
    <row r="101" spans="5:6" x14ac:dyDescent="0.25">
      <c r="E101" s="90">
        <v>99</v>
      </c>
      <c r="F101" s="87" t="s">
        <v>133</v>
      </c>
    </row>
    <row r="102" spans="5:6" x14ac:dyDescent="0.25">
      <c r="E102" s="90">
        <v>100</v>
      </c>
      <c r="F102" s="87" t="s">
        <v>134</v>
      </c>
    </row>
    <row r="103" spans="5:6" x14ac:dyDescent="0.25">
      <c r="E103" s="90">
        <v>101</v>
      </c>
      <c r="F103" s="87" t="s">
        <v>135</v>
      </c>
    </row>
    <row r="104" spans="5:6" x14ac:dyDescent="0.25">
      <c r="E104" s="90">
        <v>102</v>
      </c>
      <c r="F104" s="87" t="s">
        <v>136</v>
      </c>
    </row>
    <row r="105" spans="5:6" x14ac:dyDescent="0.25">
      <c r="E105" s="90">
        <v>103</v>
      </c>
      <c r="F105" s="87" t="s">
        <v>137</v>
      </c>
    </row>
    <row r="106" spans="5:6" x14ac:dyDescent="0.25">
      <c r="E106" s="90">
        <v>104</v>
      </c>
      <c r="F106" s="87" t="s">
        <v>138</v>
      </c>
    </row>
    <row r="107" spans="5:6" x14ac:dyDescent="0.25">
      <c r="E107" s="90">
        <v>105</v>
      </c>
      <c r="F107" s="87" t="s">
        <v>139</v>
      </c>
    </row>
    <row r="108" spans="5:6" x14ac:dyDescent="0.25">
      <c r="E108" s="90">
        <v>106</v>
      </c>
      <c r="F108" s="87" t="s">
        <v>140</v>
      </c>
    </row>
    <row r="109" spans="5:6" x14ac:dyDescent="0.25">
      <c r="E109" s="90">
        <v>107</v>
      </c>
      <c r="F109" s="87" t="s">
        <v>141</v>
      </c>
    </row>
    <row r="110" spans="5:6" x14ac:dyDescent="0.25">
      <c r="E110" s="90">
        <v>108</v>
      </c>
      <c r="F110" s="87" t="s">
        <v>142</v>
      </c>
    </row>
    <row r="111" spans="5:6" x14ac:dyDescent="0.25">
      <c r="E111" s="90">
        <v>109</v>
      </c>
      <c r="F111" s="87" t="s">
        <v>143</v>
      </c>
    </row>
    <row r="112" spans="5:6" x14ac:dyDescent="0.25">
      <c r="E112" s="90">
        <v>110</v>
      </c>
      <c r="F112" s="87" t="s">
        <v>144</v>
      </c>
    </row>
    <row r="113" spans="5:6" x14ac:dyDescent="0.25">
      <c r="E113" s="90">
        <v>111</v>
      </c>
      <c r="F113" s="87" t="s">
        <v>145</v>
      </c>
    </row>
    <row r="114" spans="5:6" x14ac:dyDescent="0.25">
      <c r="E114" s="90">
        <v>112</v>
      </c>
      <c r="F114" s="87" t="s">
        <v>146</v>
      </c>
    </row>
    <row r="115" spans="5:6" x14ac:dyDescent="0.25">
      <c r="E115" s="90">
        <v>113</v>
      </c>
      <c r="F115" s="87" t="s">
        <v>147</v>
      </c>
    </row>
    <row r="116" spans="5:6" x14ac:dyDescent="0.25">
      <c r="E116" s="90">
        <v>114</v>
      </c>
      <c r="F116" s="87" t="s">
        <v>148</v>
      </c>
    </row>
    <row r="117" spans="5:6" x14ac:dyDescent="0.25">
      <c r="E117" s="90">
        <v>115</v>
      </c>
      <c r="F117" s="87" t="s">
        <v>149</v>
      </c>
    </row>
    <row r="118" spans="5:6" x14ac:dyDescent="0.25">
      <c r="E118" s="90">
        <v>116</v>
      </c>
      <c r="F118" s="87" t="s">
        <v>150</v>
      </c>
    </row>
    <row r="119" spans="5:6" x14ac:dyDescent="0.25">
      <c r="E119" s="90">
        <v>117</v>
      </c>
      <c r="F119" s="87" t="s">
        <v>151</v>
      </c>
    </row>
    <row r="120" spans="5:6" x14ac:dyDescent="0.25">
      <c r="E120" s="90">
        <v>118</v>
      </c>
      <c r="F120" s="87" t="s">
        <v>152</v>
      </c>
    </row>
    <row r="121" spans="5:6" x14ac:dyDescent="0.25">
      <c r="E121" s="90">
        <v>119</v>
      </c>
      <c r="F121" s="87" t="s">
        <v>153</v>
      </c>
    </row>
    <row r="122" spans="5:6" x14ac:dyDescent="0.25">
      <c r="E122" s="90">
        <v>120</v>
      </c>
      <c r="F122" s="87" t="s">
        <v>154</v>
      </c>
    </row>
    <row r="123" spans="5:6" x14ac:dyDescent="0.25">
      <c r="E123" s="90">
        <v>121</v>
      </c>
      <c r="F123" s="87" t="s">
        <v>155</v>
      </c>
    </row>
    <row r="124" spans="5:6" x14ac:dyDescent="0.25">
      <c r="E124" s="90">
        <v>122</v>
      </c>
      <c r="F124" s="87" t="s">
        <v>156</v>
      </c>
    </row>
    <row r="125" spans="5:6" x14ac:dyDescent="0.25">
      <c r="E125" s="90">
        <v>123</v>
      </c>
      <c r="F125" s="87" t="s">
        <v>157</v>
      </c>
    </row>
    <row r="126" spans="5:6" x14ac:dyDescent="0.25">
      <c r="E126" s="90">
        <v>124</v>
      </c>
      <c r="F126" s="87" t="s">
        <v>158</v>
      </c>
    </row>
    <row r="127" spans="5:6" x14ac:dyDescent="0.25">
      <c r="E127" s="90">
        <v>125</v>
      </c>
      <c r="F127" s="87" t="s">
        <v>159</v>
      </c>
    </row>
    <row r="128" spans="5:6" x14ac:dyDescent="0.25">
      <c r="E128" s="90">
        <v>126</v>
      </c>
      <c r="F128" s="87" t="s">
        <v>160</v>
      </c>
    </row>
    <row r="129" spans="5:6" x14ac:dyDescent="0.25">
      <c r="E129" s="90">
        <v>127</v>
      </c>
      <c r="F129" s="87" t="s">
        <v>161</v>
      </c>
    </row>
    <row r="130" spans="5:6" x14ac:dyDescent="0.25">
      <c r="E130" s="90">
        <v>128</v>
      </c>
      <c r="F130" s="87" t="s">
        <v>162</v>
      </c>
    </row>
    <row r="131" spans="5:6" x14ac:dyDescent="0.25">
      <c r="E131" s="90">
        <v>129</v>
      </c>
      <c r="F131" s="87" t="s">
        <v>163</v>
      </c>
    </row>
    <row r="132" spans="5:6" x14ac:dyDescent="0.25">
      <c r="E132" s="90">
        <v>130</v>
      </c>
      <c r="F132" s="87" t="s">
        <v>164</v>
      </c>
    </row>
    <row r="133" spans="5:6" x14ac:dyDescent="0.25">
      <c r="E133" s="90">
        <v>131</v>
      </c>
      <c r="F133" s="87" t="s">
        <v>165</v>
      </c>
    </row>
    <row r="134" spans="5:6" x14ac:dyDescent="0.25">
      <c r="E134" s="90">
        <v>132</v>
      </c>
      <c r="F134" s="87" t="s">
        <v>166</v>
      </c>
    </row>
    <row r="135" spans="5:6" x14ac:dyDescent="0.25">
      <c r="E135" s="90">
        <v>133</v>
      </c>
      <c r="F135" s="87" t="s">
        <v>167</v>
      </c>
    </row>
    <row r="136" spans="5:6" x14ac:dyDescent="0.25">
      <c r="E136" s="90">
        <v>134</v>
      </c>
      <c r="F136" s="87" t="s">
        <v>168</v>
      </c>
    </row>
    <row r="137" spans="5:6" x14ac:dyDescent="0.25">
      <c r="E137" s="90">
        <v>135</v>
      </c>
      <c r="F137" s="87" t="s">
        <v>169</v>
      </c>
    </row>
    <row r="138" spans="5:6" x14ac:dyDescent="0.25">
      <c r="E138" s="90">
        <v>136</v>
      </c>
      <c r="F138" s="87" t="s">
        <v>170</v>
      </c>
    </row>
    <row r="139" spans="5:6" x14ac:dyDescent="0.25">
      <c r="E139" s="90">
        <v>137</v>
      </c>
      <c r="F139" s="87" t="s">
        <v>171</v>
      </c>
    </row>
    <row r="140" spans="5:6" x14ac:dyDescent="0.25">
      <c r="E140" s="90">
        <v>138</v>
      </c>
      <c r="F140" s="87" t="s">
        <v>172</v>
      </c>
    </row>
    <row r="141" spans="5:6" x14ac:dyDescent="0.25">
      <c r="E141" s="90">
        <v>139</v>
      </c>
      <c r="F141" s="87" t="s">
        <v>173</v>
      </c>
    </row>
    <row r="142" spans="5:6" x14ac:dyDescent="0.25">
      <c r="E142" s="90">
        <v>140</v>
      </c>
      <c r="F142" s="87" t="s">
        <v>174</v>
      </c>
    </row>
    <row r="143" spans="5:6" x14ac:dyDescent="0.25">
      <c r="E143" s="90">
        <v>141</v>
      </c>
      <c r="F143" s="87" t="s">
        <v>175</v>
      </c>
    </row>
    <row r="144" spans="5:6" x14ac:dyDescent="0.25">
      <c r="E144" s="90">
        <v>142</v>
      </c>
      <c r="F144" s="87" t="s">
        <v>176</v>
      </c>
    </row>
    <row r="145" spans="5:6" x14ac:dyDescent="0.25">
      <c r="E145" s="90">
        <v>143</v>
      </c>
      <c r="F145" s="87" t="s">
        <v>177</v>
      </c>
    </row>
    <row r="146" spans="5:6" x14ac:dyDescent="0.25">
      <c r="E146" s="90">
        <v>144</v>
      </c>
      <c r="F146" s="87" t="s">
        <v>178</v>
      </c>
    </row>
    <row r="147" spans="5:6" x14ac:dyDescent="0.25">
      <c r="E147" s="90">
        <v>145</v>
      </c>
      <c r="F147" s="87" t="s">
        <v>179</v>
      </c>
    </row>
    <row r="148" spans="5:6" x14ac:dyDescent="0.25">
      <c r="E148" s="90">
        <v>146</v>
      </c>
      <c r="F148" s="87" t="s">
        <v>180</v>
      </c>
    </row>
    <row r="149" spans="5:6" x14ac:dyDescent="0.25">
      <c r="E149" s="90">
        <v>147</v>
      </c>
      <c r="F149" s="87" t="s">
        <v>181</v>
      </c>
    </row>
    <row r="150" spans="5:6" x14ac:dyDescent="0.25">
      <c r="E150" s="90">
        <v>148</v>
      </c>
      <c r="F150" s="87" t="s">
        <v>182</v>
      </c>
    </row>
    <row r="151" spans="5:6" x14ac:dyDescent="0.25">
      <c r="E151" s="90">
        <v>149</v>
      </c>
      <c r="F151" s="87" t="s">
        <v>183</v>
      </c>
    </row>
    <row r="152" spans="5:6" x14ac:dyDescent="0.25">
      <c r="E152" s="90">
        <v>150</v>
      </c>
      <c r="F152" s="87" t="s">
        <v>184</v>
      </c>
    </row>
    <row r="153" spans="5:6" x14ac:dyDescent="0.25">
      <c r="E153" s="90">
        <v>151</v>
      </c>
      <c r="F153" s="87" t="s">
        <v>185</v>
      </c>
    </row>
    <row r="154" spans="5:6" x14ac:dyDescent="0.25">
      <c r="E154" s="90">
        <v>152</v>
      </c>
      <c r="F154" s="87" t="s">
        <v>186</v>
      </c>
    </row>
    <row r="155" spans="5:6" x14ac:dyDescent="0.25">
      <c r="E155" s="90">
        <v>153</v>
      </c>
      <c r="F155" s="87" t="s">
        <v>187</v>
      </c>
    </row>
    <row r="156" spans="5:6" x14ac:dyDescent="0.25">
      <c r="E156" s="90">
        <v>154</v>
      </c>
      <c r="F156" s="87" t="s">
        <v>188</v>
      </c>
    </row>
    <row r="157" spans="5:6" x14ac:dyDescent="0.25">
      <c r="E157" s="90">
        <v>155</v>
      </c>
      <c r="F157" s="87" t="s">
        <v>189</v>
      </c>
    </row>
    <row r="158" spans="5:6" x14ac:dyDescent="0.25">
      <c r="E158" s="90">
        <v>156</v>
      </c>
      <c r="F158" s="87" t="s">
        <v>190</v>
      </c>
    </row>
    <row r="159" spans="5:6" x14ac:dyDescent="0.25">
      <c r="E159" s="90">
        <v>157</v>
      </c>
      <c r="F159" s="87" t="s">
        <v>191</v>
      </c>
    </row>
    <row r="160" spans="5:6" x14ac:dyDescent="0.25">
      <c r="E160" s="90">
        <v>158</v>
      </c>
      <c r="F160" s="87" t="s">
        <v>192</v>
      </c>
    </row>
    <row r="161" spans="5:6" x14ac:dyDescent="0.25">
      <c r="E161" s="90">
        <v>159</v>
      </c>
      <c r="F161" s="87" t="s">
        <v>193</v>
      </c>
    </row>
    <row r="162" spans="5:6" x14ac:dyDescent="0.25">
      <c r="E162" s="90">
        <v>160</v>
      </c>
      <c r="F162" s="87" t="s">
        <v>194</v>
      </c>
    </row>
    <row r="163" spans="5:6" x14ac:dyDescent="0.25">
      <c r="E163" s="90">
        <v>161</v>
      </c>
      <c r="F163" s="87" t="s">
        <v>209</v>
      </c>
    </row>
    <row r="164" spans="5:6" x14ac:dyDescent="0.25">
      <c r="E164" s="90">
        <v>162</v>
      </c>
      <c r="F164" s="87" t="s">
        <v>210</v>
      </c>
    </row>
    <row r="165" spans="5:6" x14ac:dyDescent="0.25">
      <c r="E165" s="90">
        <v>163</v>
      </c>
      <c r="F165" s="87" t="s">
        <v>211</v>
      </c>
    </row>
    <row r="166" spans="5:6" x14ac:dyDescent="0.25">
      <c r="E166" s="90">
        <v>164</v>
      </c>
      <c r="F166" s="87" t="s">
        <v>212</v>
      </c>
    </row>
    <row r="167" spans="5:6" x14ac:dyDescent="0.25">
      <c r="E167" s="90">
        <v>165</v>
      </c>
      <c r="F167" s="87" t="s">
        <v>213</v>
      </c>
    </row>
    <row r="168" spans="5:6" x14ac:dyDescent="0.25">
      <c r="E168" s="90">
        <v>166</v>
      </c>
      <c r="F168" s="87" t="s">
        <v>214</v>
      </c>
    </row>
    <row r="169" spans="5:6" x14ac:dyDescent="0.25">
      <c r="E169" s="90">
        <v>167</v>
      </c>
      <c r="F169" s="87" t="s">
        <v>215</v>
      </c>
    </row>
    <row r="170" spans="5:6" x14ac:dyDescent="0.25">
      <c r="E170" s="90">
        <v>168</v>
      </c>
      <c r="F170" s="87" t="s">
        <v>216</v>
      </c>
    </row>
    <row r="171" spans="5:6" x14ac:dyDescent="0.25">
      <c r="E171" s="90">
        <v>169</v>
      </c>
      <c r="F171" s="87" t="s">
        <v>217</v>
      </c>
    </row>
    <row r="172" spans="5:6" x14ac:dyDescent="0.25">
      <c r="E172" s="90">
        <v>170</v>
      </c>
      <c r="F172" s="87" t="s">
        <v>218</v>
      </c>
    </row>
    <row r="173" spans="5:6" x14ac:dyDescent="0.25">
      <c r="E173" s="90">
        <v>171</v>
      </c>
      <c r="F173" s="87" t="s">
        <v>219</v>
      </c>
    </row>
    <row r="174" spans="5:6" x14ac:dyDescent="0.25">
      <c r="E174" s="90">
        <v>172</v>
      </c>
      <c r="F174" s="87" t="s">
        <v>220</v>
      </c>
    </row>
    <row r="175" spans="5:6" x14ac:dyDescent="0.25">
      <c r="E175" s="90">
        <v>173</v>
      </c>
      <c r="F175" s="87" t="s">
        <v>221</v>
      </c>
    </row>
    <row r="176" spans="5:6" x14ac:dyDescent="0.25">
      <c r="E176" s="90">
        <v>174</v>
      </c>
      <c r="F176" s="87" t="s">
        <v>222</v>
      </c>
    </row>
    <row r="177" spans="5:6" x14ac:dyDescent="0.25">
      <c r="E177" s="90">
        <v>175</v>
      </c>
      <c r="F177" s="87" t="s">
        <v>287</v>
      </c>
    </row>
    <row r="178" spans="5:6" x14ac:dyDescent="0.25">
      <c r="E178" s="90">
        <v>176</v>
      </c>
      <c r="F178" s="87" t="s">
        <v>288</v>
      </c>
    </row>
    <row r="179" spans="5:6" x14ac:dyDescent="0.25">
      <c r="E179" s="90">
        <v>177</v>
      </c>
      <c r="F179" s="87" t="s">
        <v>289</v>
      </c>
    </row>
    <row r="180" spans="5:6" x14ac:dyDescent="0.25">
      <c r="E180" s="90">
        <v>178</v>
      </c>
      <c r="F180" s="87" t="s">
        <v>292</v>
      </c>
    </row>
    <row r="181" spans="5:6" x14ac:dyDescent="0.25">
      <c r="E181" s="90">
        <v>179</v>
      </c>
      <c r="F181" s="87" t="s">
        <v>293</v>
      </c>
    </row>
    <row r="182" spans="5:6" x14ac:dyDescent="0.25">
      <c r="E182" s="90">
        <v>180</v>
      </c>
      <c r="F182" s="87" t="s">
        <v>294</v>
      </c>
    </row>
    <row r="183" spans="5:6" x14ac:dyDescent="0.25">
      <c r="E183" s="90">
        <v>181</v>
      </c>
      <c r="F183" s="87" t="s">
        <v>295</v>
      </c>
    </row>
    <row r="184" spans="5:6" x14ac:dyDescent="0.25">
      <c r="E184" s="90">
        <v>182</v>
      </c>
      <c r="F184" s="87" t="s">
        <v>317</v>
      </c>
    </row>
    <row r="185" spans="5:6" x14ac:dyDescent="0.25">
      <c r="E185" s="90">
        <v>183</v>
      </c>
      <c r="F185" s="87" t="s">
        <v>318</v>
      </c>
    </row>
    <row r="186" spans="5:6" x14ac:dyDescent="0.25">
      <c r="E186" s="90">
        <v>184</v>
      </c>
      <c r="F186" s="87" t="s">
        <v>319</v>
      </c>
    </row>
    <row r="187" spans="5:6" x14ac:dyDescent="0.25">
      <c r="E187" s="90">
        <v>185</v>
      </c>
      <c r="F187" s="102" t="s">
        <v>320</v>
      </c>
    </row>
    <row r="188" spans="5:6" x14ac:dyDescent="0.25">
      <c r="E188" s="90">
        <v>186</v>
      </c>
      <c r="F188" s="102" t="s">
        <v>321</v>
      </c>
    </row>
    <row r="189" spans="5:6" x14ac:dyDescent="0.25">
      <c r="E189" s="90">
        <v>187</v>
      </c>
      <c r="F189" s="87" t="s">
        <v>311</v>
      </c>
    </row>
    <row r="190" spans="5:6" x14ac:dyDescent="0.25">
      <c r="E190" s="90">
        <v>188</v>
      </c>
      <c r="F190" s="87" t="s">
        <v>312</v>
      </c>
    </row>
    <row r="191" spans="5:6" x14ac:dyDescent="0.25">
      <c r="E191" s="90">
        <v>189</v>
      </c>
      <c r="F191" s="46" t="s">
        <v>313</v>
      </c>
    </row>
    <row r="192" spans="5:6" x14ac:dyDescent="0.25">
      <c r="E192" s="90">
        <v>190</v>
      </c>
      <c r="F192" s="46" t="s">
        <v>314</v>
      </c>
    </row>
    <row r="193" spans="5:6" x14ac:dyDescent="0.25">
      <c r="E193" s="90">
        <v>191</v>
      </c>
      <c r="F193" s="46" t="s">
        <v>315</v>
      </c>
    </row>
  </sheetData>
  <sheetProtection algorithmName="SHA-512" hashValue="L6I4GJQ34ynZQ0b430DZGGs3IkEenUn27foQNhWMFKCL+RA4uQoZHKq7GiY62hXt1sKyP4EF2Gjd2/iBGL19lQ==" saltValue="bnIFQUd7haXyuYxtVWHSqg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19"/>
  <sheetViews>
    <sheetView showGridLines="0" tabSelected="1" zoomScale="69" zoomScaleNormal="69" workbookViewId="0">
      <pane xSplit="1" ySplit="8" topLeftCell="B9" activePane="bottomRight" state="frozen"/>
      <selection pane="topRight" activeCell="B1" sqref="B1"/>
      <selection pane="bottomLeft" activeCell="A9" sqref="A9"/>
      <selection pane="bottomRight" activeCell="G29" sqref="G29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9.28515625" style="13" customWidth="1"/>
    <col min="4" max="4" width="42.28515625" style="1" customWidth="1"/>
    <col min="5" max="5" width="18.42578125" style="24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3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95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5">
        <f ca="1">NOW()</f>
        <v>44428.557600810185</v>
      </c>
      <c r="C6" s="96" t="s">
        <v>24</v>
      </c>
      <c r="D6" s="97"/>
      <c r="E6" s="19" t="s">
        <v>235</v>
      </c>
      <c r="F6" s="6" t="s">
        <v>25</v>
      </c>
      <c r="G6" s="8" t="s">
        <v>224</v>
      </c>
      <c r="H6" s="100" t="s">
        <v>2</v>
      </c>
      <c r="I6" s="101"/>
      <c r="J6" s="98" t="s">
        <v>18</v>
      </c>
      <c r="K6" s="99"/>
      <c r="L6" s="3"/>
    </row>
    <row r="7" spans="1:12" s="3" customFormat="1" ht="15" thickBot="1" x14ac:dyDescent="0.25">
      <c r="A7" s="4"/>
      <c r="C7" s="12"/>
      <c r="J7" s="12"/>
      <c r="K7" s="4"/>
    </row>
    <row r="8" spans="1:12" s="25" customFormat="1" ht="33.75" customHeight="1" thickBot="1" x14ac:dyDescent="0.25">
      <c r="A8" s="60" t="s">
        <v>3</v>
      </c>
      <c r="B8" s="61" t="s">
        <v>4</v>
      </c>
      <c r="C8" s="62" t="s">
        <v>199</v>
      </c>
      <c r="D8" s="63" t="s">
        <v>26</v>
      </c>
      <c r="E8" s="64" t="s">
        <v>5</v>
      </c>
      <c r="F8" s="65" t="s">
        <v>6</v>
      </c>
      <c r="G8" s="65" t="s">
        <v>8</v>
      </c>
      <c r="H8" s="65" t="s">
        <v>7</v>
      </c>
      <c r="I8" s="66" t="s">
        <v>197</v>
      </c>
      <c r="J8" s="67" t="s">
        <v>200</v>
      </c>
      <c r="K8" s="68" t="s">
        <v>201</v>
      </c>
      <c r="L8" s="69" t="s">
        <v>9</v>
      </c>
    </row>
    <row r="9" spans="1:12" ht="18.75" customHeight="1" x14ac:dyDescent="0.2">
      <c r="A9" s="47" t="s">
        <v>10</v>
      </c>
      <c r="B9" s="42" t="s">
        <v>236</v>
      </c>
      <c r="C9" s="51"/>
      <c r="D9" s="29" t="str">
        <f>IFERROR(VLOOKUP(C9,DATOS!$E$2:$F$205,2,FALSE),"Sin Datos")</f>
        <v>Sin Datos</v>
      </c>
      <c r="E9" s="51"/>
      <c r="F9" s="35"/>
      <c r="G9" s="35"/>
      <c r="H9" s="35"/>
      <c r="I9" s="38"/>
      <c r="J9" s="57"/>
      <c r="K9" s="29" t="str">
        <f>IFERROR(VLOOKUP(J9,DATOS!$J$2:$K$5,2,FALSE),"SIN PARO")</f>
        <v>SIN PARO</v>
      </c>
      <c r="L9" s="54"/>
    </row>
    <row r="10" spans="1:12" ht="18.75" customHeight="1" x14ac:dyDescent="0.2">
      <c r="A10" s="49" t="s">
        <v>10</v>
      </c>
      <c r="B10" s="43" t="s">
        <v>236</v>
      </c>
      <c r="C10" s="52"/>
      <c r="D10" s="30" t="str">
        <f>IFERROR(VLOOKUP(C10,DATOS!$E$2:$F$205,2,FALSE),"Sin Datos")</f>
        <v>Sin Datos</v>
      </c>
      <c r="E10" s="52"/>
      <c r="F10" s="36"/>
      <c r="G10" s="36"/>
      <c r="H10" s="36"/>
      <c r="I10" s="39"/>
      <c r="J10" s="58"/>
      <c r="K10" s="30" t="str">
        <f>IFERROR(VLOOKUP(J10,DATOS!$J$2:$K$5,2,FALSE),"SIN PARO")</f>
        <v>SIN PARO</v>
      </c>
      <c r="L10" s="55"/>
    </row>
    <row r="11" spans="1:12" ht="18.75" customHeight="1" x14ac:dyDescent="0.2">
      <c r="A11" s="49" t="s">
        <v>10</v>
      </c>
      <c r="B11" s="43" t="s">
        <v>236</v>
      </c>
      <c r="C11" s="52"/>
      <c r="D11" s="30" t="str">
        <f>IFERROR(VLOOKUP(C11,DATOS!$E$2:$F$205,2,FALSE),"Sin Datos")</f>
        <v>Sin Datos</v>
      </c>
      <c r="E11" s="52"/>
      <c r="F11" s="36"/>
      <c r="G11" s="36"/>
      <c r="H11" s="36"/>
      <c r="I11" s="39"/>
      <c r="J11" s="58"/>
      <c r="K11" s="30" t="str">
        <f>IFERROR(VLOOKUP(J11,DATOS!$J$2:$K$5,2,FALSE),"SIN PARO")</f>
        <v>SIN PARO</v>
      </c>
      <c r="L11" s="55"/>
    </row>
    <row r="12" spans="1:12" ht="18.75" customHeight="1" x14ac:dyDescent="0.2">
      <c r="A12" s="49" t="s">
        <v>10</v>
      </c>
      <c r="B12" s="43" t="s">
        <v>236</v>
      </c>
      <c r="C12" s="52"/>
      <c r="D12" s="30" t="str">
        <f>IFERROR(VLOOKUP(C12,DATOS!$E$2:$F$205,2,FALSE),"Sin Datos")</f>
        <v>Sin Datos</v>
      </c>
      <c r="E12" s="52"/>
      <c r="F12" s="36"/>
      <c r="G12" s="36"/>
      <c r="H12" s="36"/>
      <c r="I12" s="39"/>
      <c r="J12" s="58"/>
      <c r="K12" s="30" t="str">
        <f>IFERROR(VLOOKUP(J12,DATOS!$J$2:$K$5,2,FALSE),"SIN PARO")</f>
        <v>SIN PARO</v>
      </c>
      <c r="L12" s="55"/>
    </row>
    <row r="13" spans="1:12" ht="18.75" customHeight="1" x14ac:dyDescent="0.2">
      <c r="A13" s="49" t="s">
        <v>10</v>
      </c>
      <c r="B13" s="43" t="s">
        <v>237</v>
      </c>
      <c r="C13" s="52"/>
      <c r="D13" s="30" t="str">
        <f>IFERROR(VLOOKUP(C13,DATOS!$E$2:$F$205,2,FALSE),"Sin Datos")</f>
        <v>Sin Datos</v>
      </c>
      <c r="E13" s="52"/>
      <c r="F13" s="36"/>
      <c r="G13" s="36"/>
      <c r="H13" s="36"/>
      <c r="I13" s="39"/>
      <c r="J13" s="58"/>
      <c r="K13" s="30" t="str">
        <f>IFERROR(VLOOKUP(J13,DATOS!$J$2:$K$5,2,FALSE),"SIN PARO")</f>
        <v>SIN PARO</v>
      </c>
      <c r="L13" s="55"/>
    </row>
    <row r="14" spans="1:12" ht="18.75" customHeight="1" thickBot="1" x14ac:dyDescent="0.25">
      <c r="A14" s="50" t="s">
        <v>10</v>
      </c>
      <c r="B14" s="44" t="s">
        <v>237</v>
      </c>
      <c r="C14" s="53"/>
      <c r="D14" s="31" t="str">
        <f>IFERROR(VLOOKUP(C14,DATOS!$E$2:$F$205,2,FALSE),"Sin Datos")</f>
        <v>Sin Datos</v>
      </c>
      <c r="E14" s="53"/>
      <c r="F14" s="37"/>
      <c r="G14" s="37"/>
      <c r="H14" s="37"/>
      <c r="I14" s="40"/>
      <c r="J14" s="59"/>
      <c r="K14" s="31" t="str">
        <f>IFERROR(VLOOKUP(J14,DATOS!$J$2:$K$5,2,FALSE),"SIN PARO")</f>
        <v>SIN PARO</v>
      </c>
      <c r="L14" s="56"/>
    </row>
    <row r="15" spans="1:12" ht="15" x14ac:dyDescent="0.2">
      <c r="A15" s="16" t="s">
        <v>260</v>
      </c>
      <c r="B15" s="42" t="s">
        <v>260</v>
      </c>
      <c r="C15" s="52">
        <v>184</v>
      </c>
      <c r="D15" s="29" t="str">
        <f>IFERROR(VLOOKUP(C15,DATOS!$E$2:$F$205,2,FALSE),"Sin Datos")</f>
        <v>PEREZ VELANDIA EDWAR ALFREDO</v>
      </c>
      <c r="E15" s="51" t="s">
        <v>231</v>
      </c>
      <c r="F15" s="35">
        <v>800</v>
      </c>
      <c r="G15" s="35"/>
      <c r="H15" s="35"/>
      <c r="I15" s="38"/>
      <c r="J15" s="57"/>
      <c r="K15" s="29" t="str">
        <f>IFERROR(VLOOKUP(J15,DATOS!$J$2:$K$5,2,FALSE),"SIN PARO")</f>
        <v>SIN PARO</v>
      </c>
      <c r="L15" s="54"/>
    </row>
    <row r="16" spans="1:12" ht="15" x14ac:dyDescent="0.2">
      <c r="A16" s="17" t="s">
        <v>260</v>
      </c>
      <c r="B16" s="43" t="s">
        <v>260</v>
      </c>
      <c r="C16" s="52"/>
      <c r="D16" s="30" t="str">
        <f>IFERROR(VLOOKUP(C16,DATOS!$E$2:$F$205,2,FALSE),"Sin Datos")</f>
        <v>Sin Datos</v>
      </c>
      <c r="E16" s="52"/>
      <c r="F16" s="36"/>
      <c r="G16" s="36"/>
      <c r="H16" s="36"/>
      <c r="I16" s="39"/>
      <c r="J16" s="58"/>
      <c r="K16" s="30" t="str">
        <f>IFERROR(VLOOKUP(J16,DATOS!$J$2:$K$5,2,FALSE),"SIN PARO")</f>
        <v>SIN PARO</v>
      </c>
      <c r="L16" s="55"/>
    </row>
    <row r="17" spans="1:12" ht="15" x14ac:dyDescent="0.2">
      <c r="A17" s="17" t="s">
        <v>260</v>
      </c>
      <c r="B17" s="43" t="s">
        <v>260</v>
      </c>
      <c r="C17" s="52"/>
      <c r="D17" s="30" t="str">
        <f>IFERROR(VLOOKUP(C17,DATOS!$E$2:$F$205,2,FALSE),"Sin Datos")</f>
        <v>Sin Datos</v>
      </c>
      <c r="E17" s="52"/>
      <c r="F17" s="36"/>
      <c r="G17" s="36"/>
      <c r="H17" s="36"/>
      <c r="I17" s="39"/>
      <c r="J17" s="58"/>
      <c r="K17" s="30" t="str">
        <f>IFERROR(VLOOKUP(J17,DATOS!$J$2:$K$5,2,FALSE),"SIN PARO")</f>
        <v>SIN PARO</v>
      </c>
      <c r="L17" s="55"/>
    </row>
    <row r="18" spans="1:12" ht="15" x14ac:dyDescent="0.2">
      <c r="A18" s="17" t="s">
        <v>260</v>
      </c>
      <c r="B18" s="43" t="s">
        <v>260</v>
      </c>
      <c r="C18" s="52"/>
      <c r="D18" s="30" t="str">
        <f>IFERROR(VLOOKUP(C18,DATOS!$E$2:$F$205,2,FALSE),"Sin Datos")</f>
        <v>Sin Datos</v>
      </c>
      <c r="E18" s="52"/>
      <c r="F18" s="36"/>
      <c r="G18" s="36"/>
      <c r="H18" s="36"/>
      <c r="I18" s="39"/>
      <c r="J18" s="58"/>
      <c r="K18" s="30" t="str">
        <f>IFERROR(VLOOKUP(J18,DATOS!$J$2:$K$5,2,FALSE),"SIN PARO")</f>
        <v>SIN PARO</v>
      </c>
      <c r="L18" s="55"/>
    </row>
    <row r="19" spans="1:12" ht="15.75" thickBot="1" x14ac:dyDescent="0.25">
      <c r="A19" s="18" t="s">
        <v>260</v>
      </c>
      <c r="B19" s="44" t="s">
        <v>260</v>
      </c>
      <c r="C19" s="53"/>
      <c r="D19" s="31" t="str">
        <f>IFERROR(VLOOKUP(C19,DATOS!$E$2:$F$205,2,FALSE),"Sin Datos")</f>
        <v>Sin Datos</v>
      </c>
      <c r="E19" s="53"/>
      <c r="F19" s="37"/>
      <c r="G19" s="37"/>
      <c r="H19" s="37"/>
      <c r="I19" s="40"/>
      <c r="J19" s="59"/>
      <c r="K19" s="31" t="str">
        <f>IFERROR(VLOOKUP(J19,DATOS!$J$2:$K$5,2,FALSE),"SIN PARO")</f>
        <v>SIN PARO</v>
      </c>
      <c r="L19" s="56"/>
    </row>
    <row r="20" spans="1:12" ht="15" x14ac:dyDescent="0.2">
      <c r="A20" s="16" t="s">
        <v>252</v>
      </c>
      <c r="B20" s="42" t="s">
        <v>257</v>
      </c>
      <c r="C20" s="52">
        <v>113</v>
      </c>
      <c r="D20" s="29" t="str">
        <f>IFERROR(VLOOKUP(C20,DATOS!$E$2:$F$205,2,FALSE),"Sin Datos")</f>
        <v>OTAVO CORDOBA ROBERTO CARLOS</v>
      </c>
      <c r="E20" s="51" t="s">
        <v>231</v>
      </c>
      <c r="F20" s="35"/>
      <c r="G20" s="35"/>
      <c r="H20" s="35"/>
      <c r="I20" s="38"/>
      <c r="J20" s="57"/>
      <c r="K20" s="29" t="str">
        <f>IFERROR(VLOOKUP(J20,DATOS!$J$2:$K$5,2,FALSE),"SIN PARO")</f>
        <v>SIN PARO</v>
      </c>
      <c r="L20" s="54"/>
    </row>
    <row r="21" spans="1:12" ht="15" x14ac:dyDescent="0.2">
      <c r="A21" s="17" t="s">
        <v>252</v>
      </c>
      <c r="B21" s="43" t="s">
        <v>257</v>
      </c>
      <c r="C21" s="52">
        <v>113</v>
      </c>
      <c r="D21" s="30" t="str">
        <f>IFERROR(VLOOKUP(C21,DATOS!$E$2:$F$205,2,FALSE),"Sin Datos")</f>
        <v>OTAVO CORDOBA ROBERTO CARLOS</v>
      </c>
      <c r="E21" s="52" t="s">
        <v>232</v>
      </c>
      <c r="F21" s="36"/>
      <c r="G21" s="36"/>
      <c r="H21" s="36"/>
      <c r="I21" s="39"/>
      <c r="J21" s="58"/>
      <c r="K21" s="30" t="str">
        <f>IFERROR(VLOOKUP(J21,DATOS!$J$2:$K$5,2,FALSE),"SIN PARO")</f>
        <v>SIN PARO</v>
      </c>
      <c r="L21" s="55"/>
    </row>
    <row r="22" spans="1:12" ht="15" x14ac:dyDescent="0.2">
      <c r="A22" s="17" t="s">
        <v>252</v>
      </c>
      <c r="B22" s="43" t="s">
        <v>257</v>
      </c>
      <c r="C22" s="52"/>
      <c r="D22" s="30" t="str">
        <f>IFERROR(VLOOKUP(C22,DATOS!$E$2:$F$205,2,FALSE),"Sin Datos")</f>
        <v>Sin Datos</v>
      </c>
      <c r="E22" s="52"/>
      <c r="F22" s="36"/>
      <c r="G22" s="36"/>
      <c r="H22" s="36"/>
      <c r="I22" s="39"/>
      <c r="J22" s="58"/>
      <c r="K22" s="30" t="str">
        <f>IFERROR(VLOOKUP(J22,DATOS!$J$2:$K$5,2,FALSE),"SIN PARO")</f>
        <v>SIN PARO</v>
      </c>
      <c r="L22" s="55"/>
    </row>
    <row r="23" spans="1:12" ht="15.75" thickBot="1" x14ac:dyDescent="0.25">
      <c r="A23" s="18" t="s">
        <v>252</v>
      </c>
      <c r="B23" s="44" t="s">
        <v>257</v>
      </c>
      <c r="C23" s="53"/>
      <c r="D23" s="31" t="str">
        <f>IFERROR(VLOOKUP(C23,DATOS!$E$2:$F$205,2,FALSE),"Sin Datos")</f>
        <v>Sin Datos</v>
      </c>
      <c r="E23" s="53"/>
      <c r="F23" s="37"/>
      <c r="G23" s="37"/>
      <c r="H23" s="37"/>
      <c r="I23" s="40"/>
      <c r="J23" s="59"/>
      <c r="K23" s="31" t="str">
        <f>IFERROR(VLOOKUP(J23,DATOS!$J$2:$K$5,2,FALSE),"SIN PARO")</f>
        <v>SIN PARO</v>
      </c>
      <c r="L23" s="56"/>
    </row>
    <row r="24" spans="1:12" ht="15" x14ac:dyDescent="0.2">
      <c r="A24" s="47" t="s">
        <v>203</v>
      </c>
      <c r="B24" s="42" t="s">
        <v>11</v>
      </c>
      <c r="C24" s="36">
        <v>91</v>
      </c>
      <c r="D24" s="29" t="str">
        <f>IFERROR(VLOOKUP(C24,DATOS!$E$2:$F$205,2,FALSE),"Sin Datos")</f>
        <v>MENDEZ BUCURU YOHAN MENYER</v>
      </c>
      <c r="E24" s="51"/>
      <c r="F24" s="35"/>
      <c r="G24" s="35"/>
      <c r="H24" s="35"/>
      <c r="I24" s="38"/>
      <c r="J24" s="57"/>
      <c r="K24" s="29" t="str">
        <f>IFERROR(VLOOKUP(J24,DATOS!$J$2:$K$5,2,FALSE),"SIN PARO")</f>
        <v>SIN PARO</v>
      </c>
      <c r="L24" s="54"/>
    </row>
    <row r="25" spans="1:12" ht="15" x14ac:dyDescent="0.2">
      <c r="A25" s="49" t="s">
        <v>203</v>
      </c>
      <c r="B25" s="43" t="s">
        <v>11</v>
      </c>
      <c r="C25" s="52"/>
      <c r="D25" s="30" t="str">
        <f>IFERROR(VLOOKUP(C25,DATOS!$E$2:$F$205,2,FALSE),"Sin Datos")</f>
        <v>Sin Datos</v>
      </c>
      <c r="E25" s="52"/>
      <c r="F25" s="36"/>
      <c r="G25" s="36"/>
      <c r="H25" s="36"/>
      <c r="I25" s="39"/>
      <c r="J25" s="58"/>
      <c r="K25" s="30" t="str">
        <f>IFERROR(VLOOKUP(J25,DATOS!$J$2:$K$5,2,FALSE),"SIN PARO")</f>
        <v>SIN PARO</v>
      </c>
      <c r="L25" s="55"/>
    </row>
    <row r="26" spans="1:12" ht="15" x14ac:dyDescent="0.2">
      <c r="A26" s="49" t="s">
        <v>203</v>
      </c>
      <c r="B26" s="43" t="s">
        <v>12</v>
      </c>
      <c r="C26" s="52">
        <v>81</v>
      </c>
      <c r="D26" s="30" t="str">
        <f>IFERROR(VLOOKUP(C26,DATOS!$E$2:$F$205,2,FALSE),"Sin Datos")</f>
        <v>LEON MATEUS JUAN CAMILO</v>
      </c>
      <c r="E26" s="52" t="s">
        <v>232</v>
      </c>
      <c r="F26" s="36"/>
      <c r="G26" s="36"/>
      <c r="H26" s="36"/>
      <c r="I26" s="39"/>
      <c r="J26" s="58"/>
      <c r="K26" s="30" t="str">
        <f>IFERROR(VLOOKUP(J26,DATOS!$J$2:$K$5,2,FALSE),"SIN PARO")</f>
        <v>SIN PARO</v>
      </c>
      <c r="L26" s="55"/>
    </row>
    <row r="27" spans="1:12" ht="15" x14ac:dyDescent="0.2">
      <c r="A27" s="49" t="s">
        <v>203</v>
      </c>
      <c r="B27" s="43" t="s">
        <v>12</v>
      </c>
      <c r="C27" s="52"/>
      <c r="D27" s="30" t="str">
        <f>IFERROR(VLOOKUP(C27,DATOS!$E$2:$F$205,2,FALSE),"Sin Datos")</f>
        <v>Sin Datos</v>
      </c>
      <c r="E27" s="52"/>
      <c r="F27" s="36"/>
      <c r="G27" s="36"/>
      <c r="H27" s="36"/>
      <c r="I27" s="39"/>
      <c r="J27" s="58"/>
      <c r="K27" s="30" t="str">
        <f>IFERROR(VLOOKUP(J27,DATOS!$J$2:$K$5,2,FALSE),"SIN PARO")</f>
        <v>SIN PARO</v>
      </c>
      <c r="L27" s="55"/>
    </row>
    <row r="28" spans="1:12" ht="15" x14ac:dyDescent="0.2">
      <c r="A28" s="49" t="s">
        <v>203</v>
      </c>
      <c r="B28" s="43" t="s">
        <v>13</v>
      </c>
      <c r="C28" s="52"/>
      <c r="D28" s="30" t="str">
        <f>IFERROR(VLOOKUP(C28,DATOS!$E$2:$F$205,2,FALSE),"Sin Datos")</f>
        <v>Sin Datos</v>
      </c>
      <c r="E28" s="52"/>
      <c r="F28" s="36"/>
      <c r="G28" s="36"/>
      <c r="H28" s="36"/>
      <c r="I28" s="39"/>
      <c r="J28" s="58"/>
      <c r="K28" s="30" t="str">
        <f>IFERROR(VLOOKUP(J28,DATOS!$J$2:$K$5,2,FALSE),"SIN PARO")</f>
        <v>SIN PARO</v>
      </c>
      <c r="L28" s="55"/>
    </row>
    <row r="29" spans="1:12" ht="15" x14ac:dyDescent="0.2">
      <c r="A29" s="49" t="s">
        <v>203</v>
      </c>
      <c r="B29" s="43" t="s">
        <v>13</v>
      </c>
      <c r="C29" s="52"/>
      <c r="D29" s="30" t="str">
        <f>IFERROR(VLOOKUP(C29,DATOS!$E$2:$F$205,2,FALSE),"Sin Datos")</f>
        <v>Sin Datos</v>
      </c>
      <c r="E29" s="52"/>
      <c r="F29" s="36"/>
      <c r="G29" s="36"/>
      <c r="H29" s="36"/>
      <c r="I29" s="39"/>
      <c r="J29" s="58"/>
      <c r="K29" s="30" t="str">
        <f>IFERROR(VLOOKUP(J29,DATOS!$J$2:$K$5,2,FALSE),"SIN PARO")</f>
        <v>SIN PARO</v>
      </c>
      <c r="L29" s="55"/>
    </row>
    <row r="30" spans="1:12" ht="15" x14ac:dyDescent="0.2">
      <c r="A30" s="49" t="s">
        <v>203</v>
      </c>
      <c r="B30" s="43" t="s">
        <v>225</v>
      </c>
      <c r="C30" s="52">
        <v>37</v>
      </c>
      <c r="D30" s="30" t="str">
        <f>IFERROR(VLOOKUP(C30,DATOS!$E$2:$F$205,2,FALSE),"Sin Datos")</f>
        <v xml:space="preserve">CASTILLO TORRES GELVERT </v>
      </c>
      <c r="E30" s="52">
        <v>1006110</v>
      </c>
      <c r="F30" s="36"/>
      <c r="G30" s="36"/>
      <c r="H30" s="36"/>
      <c r="I30" s="39"/>
      <c r="J30" s="58"/>
      <c r="K30" s="30" t="str">
        <f>IFERROR(VLOOKUP(J30,DATOS!$J$2:$K$5,2,FALSE),"SIN PARO")</f>
        <v>SIN PARO</v>
      </c>
      <c r="L30" s="55"/>
    </row>
    <row r="31" spans="1:12" ht="15.75" thickBot="1" x14ac:dyDescent="0.25">
      <c r="A31" s="50" t="s">
        <v>203</v>
      </c>
      <c r="B31" s="44" t="s">
        <v>225</v>
      </c>
      <c r="C31" s="53"/>
      <c r="D31" s="31" t="str">
        <f>IFERROR(VLOOKUP(C31,DATOS!$E$2:$F$205,2,FALSE),"Sin Datos")</f>
        <v>Sin Datos</v>
      </c>
      <c r="E31" s="53"/>
      <c r="F31" s="37"/>
      <c r="G31" s="37"/>
      <c r="H31" s="37"/>
      <c r="I31" s="40"/>
      <c r="J31" s="59"/>
      <c r="K31" s="31" t="str">
        <f>IFERROR(VLOOKUP(J31,DATOS!$J$2:$K$5,2,FALSE),"SIN PARO")</f>
        <v>SIN PARO</v>
      </c>
      <c r="L31" s="56"/>
    </row>
    <row r="32" spans="1:12" ht="15" x14ac:dyDescent="0.2">
      <c r="A32" s="16" t="s">
        <v>238</v>
      </c>
      <c r="B32" s="42" t="s">
        <v>238</v>
      </c>
      <c r="C32" s="36">
        <v>184</v>
      </c>
      <c r="D32" s="29" t="str">
        <f>IFERROR(VLOOKUP(C32,DATOS!$E$2:$F$205,2,FALSE),"Sin Datos")</f>
        <v>PEREZ VELANDIA EDWAR ALFREDO</v>
      </c>
      <c r="E32" s="51" t="s">
        <v>228</v>
      </c>
      <c r="F32" s="35"/>
      <c r="G32" s="35"/>
      <c r="H32" s="35"/>
      <c r="I32" s="38"/>
      <c r="J32" s="57"/>
      <c r="K32" s="29" t="str">
        <f>IFERROR(VLOOKUP(J32,DATOS!$J$2:$K$5,2,FALSE),"SIN PARO")</f>
        <v>SIN PARO</v>
      </c>
      <c r="L32" s="54"/>
    </row>
    <row r="33" spans="1:12" ht="15" x14ac:dyDescent="0.2">
      <c r="A33" s="17" t="s">
        <v>238</v>
      </c>
      <c r="B33" s="43" t="s">
        <v>238</v>
      </c>
      <c r="C33" s="36">
        <v>167</v>
      </c>
      <c r="D33" s="30" t="str">
        <f>IFERROR(VLOOKUP(C33,DATOS!$E$2:$F$205,2,FALSE),"Sin Datos")</f>
        <v xml:space="preserve">PINILLA GONZALEZ DEIMER FERNANDO </v>
      </c>
      <c r="E33" s="52" t="s">
        <v>232</v>
      </c>
      <c r="F33" s="36"/>
      <c r="G33" s="36"/>
      <c r="H33" s="36"/>
      <c r="I33" s="39"/>
      <c r="J33" s="58"/>
      <c r="K33" s="30" t="str">
        <f>IFERROR(VLOOKUP(J33,DATOS!$J$2:$K$5,2,FALSE),"SIN PARO")</f>
        <v>SIN PARO</v>
      </c>
      <c r="L33" s="55"/>
    </row>
    <row r="34" spans="1:12" ht="15" x14ac:dyDescent="0.2">
      <c r="A34" s="17" t="s">
        <v>238</v>
      </c>
      <c r="B34" s="43" t="s">
        <v>238</v>
      </c>
      <c r="C34" s="52">
        <v>184</v>
      </c>
      <c r="D34" s="30" t="str">
        <f>IFERROR(VLOOKUP(C34,DATOS!$E$2:$F$205,2,FALSE),"Sin Datos")</f>
        <v>PEREZ VELANDIA EDWAR ALFREDO</v>
      </c>
      <c r="E34" s="52">
        <v>1006110</v>
      </c>
      <c r="F34" s="36"/>
      <c r="G34" s="36"/>
      <c r="H34" s="36"/>
      <c r="I34" s="39"/>
      <c r="J34" s="58"/>
      <c r="K34" s="30" t="str">
        <f>IFERROR(VLOOKUP(J34,DATOS!$J$2:$K$5,2,FALSE),"SIN PARO")</f>
        <v>SIN PARO</v>
      </c>
      <c r="L34" s="55"/>
    </row>
    <row r="35" spans="1:12" ht="15" x14ac:dyDescent="0.2">
      <c r="A35" s="17" t="s">
        <v>238</v>
      </c>
      <c r="B35" s="43" t="s">
        <v>238</v>
      </c>
      <c r="C35" s="52"/>
      <c r="D35" s="30" t="str">
        <f>IFERROR(VLOOKUP(C35,DATOS!$E$2:$F$205,2,FALSE),"Sin Datos")</f>
        <v>Sin Datos</v>
      </c>
      <c r="E35" s="52"/>
      <c r="F35" s="36"/>
      <c r="G35" s="36"/>
      <c r="H35" s="36"/>
      <c r="I35" s="39"/>
      <c r="J35" s="58"/>
      <c r="K35" s="30" t="str">
        <f>IFERROR(VLOOKUP(J35,DATOS!$J$2:$K$5,2,FALSE),"SIN PARO")</f>
        <v>SIN PARO</v>
      </c>
      <c r="L35" s="55"/>
    </row>
    <row r="36" spans="1:12" ht="15" x14ac:dyDescent="0.2">
      <c r="A36" s="17" t="s">
        <v>238</v>
      </c>
      <c r="B36" s="43" t="s">
        <v>238</v>
      </c>
      <c r="C36" s="52"/>
      <c r="D36" s="30" t="str">
        <f>IFERROR(VLOOKUP(C36,DATOS!$E$2:$F$205,2,FALSE),"Sin Datos")</f>
        <v>Sin Datos</v>
      </c>
      <c r="E36" s="52"/>
      <c r="F36" s="36"/>
      <c r="G36" s="36"/>
      <c r="H36" s="36"/>
      <c r="I36" s="39"/>
      <c r="J36" s="58"/>
      <c r="K36" s="30" t="str">
        <f>IFERROR(VLOOKUP(J36,DATOS!$J$2:$K$5,2,FALSE),"SIN PARO")</f>
        <v>SIN PARO</v>
      </c>
      <c r="L36" s="55"/>
    </row>
    <row r="37" spans="1:12" ht="15" x14ac:dyDescent="0.2">
      <c r="A37" s="17" t="s">
        <v>238</v>
      </c>
      <c r="B37" s="43" t="s">
        <v>238</v>
      </c>
      <c r="C37" s="52"/>
      <c r="D37" s="30" t="str">
        <f>IFERROR(VLOOKUP(C37,DATOS!$E$2:$F$205,2,FALSE),"Sin Datos")</f>
        <v>Sin Datos</v>
      </c>
      <c r="E37" s="52"/>
      <c r="F37" s="36"/>
      <c r="G37" s="36"/>
      <c r="H37" s="36"/>
      <c r="I37" s="39"/>
      <c r="J37" s="58"/>
      <c r="K37" s="30" t="str">
        <f>IFERROR(VLOOKUP(J37,DATOS!$J$2:$K$5,2,FALSE),"SIN PARO")</f>
        <v>SIN PARO</v>
      </c>
      <c r="L37" s="55"/>
    </row>
    <row r="38" spans="1:12" ht="15" x14ac:dyDescent="0.2">
      <c r="A38" s="17" t="s">
        <v>238</v>
      </c>
      <c r="B38" s="43" t="s">
        <v>238</v>
      </c>
      <c r="C38" s="52"/>
      <c r="D38" s="30" t="str">
        <f>IFERROR(VLOOKUP(C38,DATOS!$E$2:$F$205,2,FALSE),"Sin Datos")</f>
        <v>Sin Datos</v>
      </c>
      <c r="E38" s="52"/>
      <c r="F38" s="36"/>
      <c r="G38" s="36"/>
      <c r="H38" s="36"/>
      <c r="I38" s="39"/>
      <c r="J38" s="58"/>
      <c r="K38" s="30" t="str">
        <f>IFERROR(VLOOKUP(J38,DATOS!$J$2:$K$5,2,FALSE),"SIN PARO")</f>
        <v>SIN PARO</v>
      </c>
      <c r="L38" s="55"/>
    </row>
    <row r="39" spans="1:12" ht="15" x14ac:dyDescent="0.2">
      <c r="A39" s="17" t="s">
        <v>238</v>
      </c>
      <c r="B39" s="43" t="s">
        <v>238</v>
      </c>
      <c r="C39" s="52"/>
      <c r="D39" s="30" t="str">
        <f>IFERROR(VLOOKUP(C39,DATOS!$E$2:$F$205,2,FALSE),"Sin Datos")</f>
        <v>Sin Datos</v>
      </c>
      <c r="E39" s="52"/>
      <c r="F39" s="36"/>
      <c r="G39" s="36"/>
      <c r="H39" s="36"/>
      <c r="I39" s="39"/>
      <c r="J39" s="58"/>
      <c r="K39" s="30" t="str">
        <f>IFERROR(VLOOKUP(J39,DATOS!$J$2:$K$5,2,FALSE),"SIN PARO")</f>
        <v>SIN PARO</v>
      </c>
      <c r="L39" s="55"/>
    </row>
    <row r="40" spans="1:12" ht="15.75" thickBot="1" x14ac:dyDescent="0.25">
      <c r="A40" s="18" t="s">
        <v>238</v>
      </c>
      <c r="B40" s="44" t="s">
        <v>238</v>
      </c>
      <c r="C40" s="53"/>
      <c r="D40" s="31" t="str">
        <f>IFERROR(VLOOKUP(C40,DATOS!$E$2:$F$205,2,FALSE),"Sin Datos")</f>
        <v>Sin Datos</v>
      </c>
      <c r="E40" s="53"/>
      <c r="F40" s="37"/>
      <c r="G40" s="37"/>
      <c r="H40" s="37"/>
      <c r="I40" s="40"/>
      <c r="J40" s="59"/>
      <c r="K40" s="31" t="str">
        <f>IFERROR(VLOOKUP(J40,DATOS!$J$2:$K$5,2,FALSE),"SIN PARO")</f>
        <v>SIN PARO</v>
      </c>
      <c r="L40" s="56"/>
    </row>
    <row r="41" spans="1:12" ht="15" x14ac:dyDescent="0.2">
      <c r="A41" s="16" t="s">
        <v>239</v>
      </c>
      <c r="B41" s="42" t="s">
        <v>240</v>
      </c>
      <c r="C41" s="52"/>
      <c r="D41" s="29" t="str">
        <f>IFERROR(VLOOKUP(C41,DATOS!$E$2:$F$205,2,FALSE),"Sin Datos")</f>
        <v>Sin Datos</v>
      </c>
      <c r="E41" s="51"/>
      <c r="F41" s="35"/>
      <c r="G41" s="35"/>
      <c r="H41" s="35"/>
      <c r="I41" s="38"/>
      <c r="J41" s="57"/>
      <c r="K41" s="29" t="str">
        <f>IFERROR(VLOOKUP(J41,DATOS!$J$2:$K$5,2,FALSE),"SIN PARO")</f>
        <v>SIN PARO</v>
      </c>
      <c r="L41" s="54"/>
    </row>
    <row r="42" spans="1:12" ht="15" x14ac:dyDescent="0.2">
      <c r="A42" s="17" t="s">
        <v>239</v>
      </c>
      <c r="B42" s="43" t="s">
        <v>240</v>
      </c>
      <c r="C42" s="52">
        <v>152</v>
      </c>
      <c r="D42" s="30" t="str">
        <f>IFERROR(VLOOKUP(C42,DATOS!$E$2:$F$205,2,FALSE),"Sin Datos")</f>
        <v>TORRES CASTAÑEDA JUAN RICARDO</v>
      </c>
      <c r="E42" s="52" t="s">
        <v>227</v>
      </c>
      <c r="F42" s="36"/>
      <c r="G42" s="36"/>
      <c r="H42" s="36"/>
      <c r="I42" s="39"/>
      <c r="J42" s="58"/>
      <c r="K42" s="30" t="str">
        <f>IFERROR(VLOOKUP(J42,DATOS!$J$2:$K$5,2,FALSE),"SIN PARO")</f>
        <v>SIN PARO</v>
      </c>
      <c r="L42" s="55"/>
    </row>
    <row r="43" spans="1:12" ht="15" x14ac:dyDescent="0.2">
      <c r="A43" s="17" t="s">
        <v>239</v>
      </c>
      <c r="B43" s="43" t="s">
        <v>240</v>
      </c>
      <c r="C43" s="52">
        <v>161</v>
      </c>
      <c r="D43" s="30" t="str">
        <f>IFERROR(VLOOKUP(C43,DATOS!$E$2:$F$205,2,FALSE),"Sin Datos")</f>
        <v xml:space="preserve">ACERO BARACALDO ANGIE LIZETH </v>
      </c>
      <c r="E43" s="52" t="s">
        <v>227</v>
      </c>
      <c r="F43" s="36"/>
      <c r="G43" s="36"/>
      <c r="H43" s="36"/>
      <c r="I43" s="39"/>
      <c r="J43" s="58"/>
      <c r="K43" s="30" t="str">
        <f>IFERROR(VLOOKUP(J43,DATOS!$J$2:$K$5,2,FALSE),"SIN PARO")</f>
        <v>SIN PARO</v>
      </c>
      <c r="L43" s="55"/>
    </row>
    <row r="44" spans="1:12" ht="15" x14ac:dyDescent="0.2">
      <c r="A44" s="17" t="s">
        <v>239</v>
      </c>
      <c r="B44" s="43" t="s">
        <v>241</v>
      </c>
      <c r="C44" s="52"/>
      <c r="D44" s="30" t="str">
        <f>IFERROR(VLOOKUP(C44,DATOS!$E$2:$F$205,2,FALSE),"Sin Datos")</f>
        <v>Sin Datos</v>
      </c>
      <c r="E44" s="52"/>
      <c r="F44" s="36"/>
      <c r="G44" s="36"/>
      <c r="H44" s="36"/>
      <c r="I44" s="39"/>
      <c r="J44" s="58"/>
      <c r="K44" s="30" t="str">
        <f>IFERROR(VLOOKUP(J44,DATOS!$J$2:$K$5,2,FALSE),"SIN PARO")</f>
        <v>SIN PARO</v>
      </c>
      <c r="L44" s="55"/>
    </row>
    <row r="45" spans="1:12" ht="15" x14ac:dyDescent="0.2">
      <c r="A45" s="17" t="s">
        <v>239</v>
      </c>
      <c r="B45" s="43" t="s">
        <v>241</v>
      </c>
      <c r="C45" s="52"/>
      <c r="D45" s="30" t="str">
        <f>IFERROR(VLOOKUP(C45,DATOS!$E$2:$F$205,2,FALSE),"Sin Datos")</f>
        <v>Sin Datos</v>
      </c>
      <c r="E45" s="52"/>
      <c r="F45" s="36"/>
      <c r="G45" s="36"/>
      <c r="H45" s="36"/>
      <c r="I45" s="39"/>
      <c r="J45" s="58"/>
      <c r="K45" s="30" t="str">
        <f>IFERROR(VLOOKUP(J45,DATOS!$J$2:$K$5,2,FALSE),"SIN PARO")</f>
        <v>SIN PARO</v>
      </c>
      <c r="L45" s="55"/>
    </row>
    <row r="46" spans="1:12" ht="15.75" thickBot="1" x14ac:dyDescent="0.25">
      <c r="A46" s="18" t="s">
        <v>239</v>
      </c>
      <c r="B46" s="44" t="s">
        <v>241</v>
      </c>
      <c r="C46" s="53"/>
      <c r="D46" s="31" t="str">
        <f>IFERROR(VLOOKUP(C46,DATOS!$E$2:$F$205,2,FALSE),"Sin Datos")</f>
        <v>Sin Datos</v>
      </c>
      <c r="E46" s="53"/>
      <c r="F46" s="37"/>
      <c r="G46" s="37"/>
      <c r="H46" s="37"/>
      <c r="I46" s="40"/>
      <c r="J46" s="28"/>
      <c r="K46" s="31" t="str">
        <f>IFERROR(VLOOKUP(J46,DATOS!$J$2:$K$5,2,FALSE),"SIN PARO")</f>
        <v>SIN PARO</v>
      </c>
      <c r="L46" s="56"/>
    </row>
    <row r="47" spans="1:12" ht="15" x14ac:dyDescent="0.2">
      <c r="A47" s="16" t="s">
        <v>239</v>
      </c>
      <c r="B47" s="42" t="s">
        <v>243</v>
      </c>
      <c r="C47" s="52">
        <v>56</v>
      </c>
      <c r="D47" s="29" t="str">
        <f>IFERROR(VLOOKUP(C47,DATOS!$E$2:$F$205,2,FALSE),"Sin Datos")</f>
        <v>GARAY ALVAREZ ANGELO STIVEN</v>
      </c>
      <c r="E47" s="36" t="s">
        <v>232</v>
      </c>
      <c r="F47" s="35"/>
      <c r="G47" s="35"/>
      <c r="H47" s="35"/>
      <c r="I47" s="38"/>
      <c r="J47" s="57"/>
      <c r="K47" s="29" t="str">
        <f>IFERROR(VLOOKUP(J47,DATOS!$J$2:$K$5,2,FALSE),"SIN PARO")</f>
        <v>SIN PARO</v>
      </c>
      <c r="L47" s="54"/>
    </row>
    <row r="48" spans="1:12" ht="15" x14ac:dyDescent="0.2">
      <c r="A48" s="17" t="s">
        <v>239</v>
      </c>
      <c r="B48" s="43" t="s">
        <v>242</v>
      </c>
      <c r="C48" s="52">
        <v>50</v>
      </c>
      <c r="D48" s="30" t="str">
        <f>IFERROR(VLOOKUP(C48,DATOS!$E$2:$F$205,2,FALSE),"Sin Datos")</f>
        <v>ESPITIA VERGARA SANDRA MIREYA</v>
      </c>
      <c r="E48" s="36" t="s">
        <v>232</v>
      </c>
      <c r="F48" s="36"/>
      <c r="G48" s="36"/>
      <c r="H48" s="36"/>
      <c r="I48" s="39"/>
      <c r="J48" s="58"/>
      <c r="K48" s="30" t="str">
        <f>IFERROR(VLOOKUP(J48,DATOS!$J$2:$K$5,2,FALSE),"SIN PARO")</f>
        <v>SIN PARO</v>
      </c>
      <c r="L48" s="55"/>
    </row>
    <row r="49" spans="1:12" ht="15" x14ac:dyDescent="0.2">
      <c r="A49" s="17" t="s">
        <v>239</v>
      </c>
      <c r="B49" s="43" t="s">
        <v>242</v>
      </c>
      <c r="C49" s="52">
        <v>177</v>
      </c>
      <c r="D49" s="30" t="str">
        <f>IFERROR(VLOOKUP(C49,DATOS!$E$2:$F$205,2,FALSE),"Sin Datos")</f>
        <v>GUTIERREZ JULIET ANDREA</v>
      </c>
      <c r="E49" s="36" t="s">
        <v>232</v>
      </c>
      <c r="F49" s="36"/>
      <c r="G49" s="36"/>
      <c r="H49" s="36"/>
      <c r="I49" s="39"/>
      <c r="J49" s="58"/>
      <c r="K49" s="30" t="str">
        <f>IFERROR(VLOOKUP(J49,DATOS!$J$2:$K$5,2,FALSE),"SIN PARO")</f>
        <v>SIN PARO</v>
      </c>
      <c r="L49" s="55"/>
    </row>
    <row r="50" spans="1:12" ht="15" x14ac:dyDescent="0.2">
      <c r="A50" s="17" t="s">
        <v>239</v>
      </c>
      <c r="B50" s="43" t="s">
        <v>242</v>
      </c>
      <c r="C50" s="52">
        <v>45</v>
      </c>
      <c r="D50" s="30" t="str">
        <f>IFERROR(VLOOKUP(C50,DATOS!$E$2:$F$205,2,FALSE),"Sin Datos")</f>
        <v>EREGUA ESLAVA LIDIA YUBITZA</v>
      </c>
      <c r="E50" s="36" t="s">
        <v>232</v>
      </c>
      <c r="F50" s="36"/>
      <c r="G50" s="36"/>
      <c r="H50" s="36"/>
      <c r="I50" s="39"/>
      <c r="J50" s="58"/>
      <c r="K50" s="30" t="str">
        <f>IFERROR(VLOOKUP(J50,DATOS!$J$2:$K$5,2,FALSE),"SIN PARO")</f>
        <v>SIN PARO</v>
      </c>
      <c r="L50" s="55"/>
    </row>
    <row r="51" spans="1:12" ht="15.75" thickBot="1" x14ac:dyDescent="0.25">
      <c r="A51" s="18" t="s">
        <v>239</v>
      </c>
      <c r="B51" s="44" t="s">
        <v>242</v>
      </c>
      <c r="C51" s="52"/>
      <c r="D51" s="31" t="str">
        <f>IFERROR(VLOOKUP(C51,DATOS!$E$2:$F$205,2,FALSE),"Sin Datos")</f>
        <v>Sin Datos</v>
      </c>
      <c r="E51" s="36"/>
      <c r="F51" s="37"/>
      <c r="G51" s="37"/>
      <c r="H51" s="37"/>
      <c r="I51" s="40"/>
      <c r="J51" s="28"/>
      <c r="K51" s="31" t="str">
        <f>IFERROR(VLOOKUP(J51,DATOS!$J$2:$K$5,2,FALSE),"SIN PARO")</f>
        <v>SIN PARO</v>
      </c>
      <c r="L51" s="56"/>
    </row>
    <row r="52" spans="1:12" ht="15" x14ac:dyDescent="0.2">
      <c r="A52" s="16" t="s">
        <v>239</v>
      </c>
      <c r="B52" s="42" t="s">
        <v>243</v>
      </c>
      <c r="C52" s="51"/>
      <c r="D52" s="29" t="str">
        <f>IFERROR(VLOOKUP(C52,DATOS!$E$2:$F$205,2,FALSE),"Sin Datos")</f>
        <v>Sin Datos</v>
      </c>
      <c r="E52" s="51"/>
      <c r="F52" s="35"/>
      <c r="G52" s="35"/>
      <c r="H52" s="35"/>
      <c r="I52" s="38"/>
      <c r="J52" s="57"/>
      <c r="K52" s="29" t="str">
        <f>IFERROR(VLOOKUP(J52,DATOS!$J$2:$K$5,2,FALSE),"SIN PARO")</f>
        <v>SIN PARO</v>
      </c>
      <c r="L52" s="54"/>
    </row>
    <row r="53" spans="1:12" ht="15" x14ac:dyDescent="0.2">
      <c r="A53" s="17" t="s">
        <v>239</v>
      </c>
      <c r="B53" s="43" t="s">
        <v>242</v>
      </c>
      <c r="C53" s="52"/>
      <c r="D53" s="30" t="str">
        <f>IFERROR(VLOOKUP(C53,DATOS!$E$2:$F$205,2,FALSE),"Sin Datos")</f>
        <v>Sin Datos</v>
      </c>
      <c r="E53" s="36"/>
      <c r="F53" s="36"/>
      <c r="G53" s="36"/>
      <c r="H53" s="36"/>
      <c r="I53" s="39"/>
      <c r="J53" s="58"/>
      <c r="K53" s="30" t="str">
        <f>IFERROR(VLOOKUP(J53,DATOS!$J$2:$K$5,2,FALSE),"SIN PARO")</f>
        <v>SIN PARO</v>
      </c>
      <c r="L53" s="55"/>
    </row>
    <row r="54" spans="1:12" ht="15" x14ac:dyDescent="0.2">
      <c r="A54" s="17" t="s">
        <v>239</v>
      </c>
      <c r="B54" s="43" t="s">
        <v>242</v>
      </c>
      <c r="C54" s="52"/>
      <c r="D54" s="30" t="str">
        <f>IFERROR(VLOOKUP(C54,DATOS!$E$2:$F$205,2,FALSE),"Sin Datos")</f>
        <v>Sin Datos</v>
      </c>
      <c r="E54" s="36"/>
      <c r="F54" s="36"/>
      <c r="G54" s="36"/>
      <c r="H54" s="36"/>
      <c r="I54" s="39"/>
      <c r="J54" s="58"/>
      <c r="K54" s="30" t="str">
        <f>IFERROR(VLOOKUP(J54,DATOS!$J$2:$K$5,2,FALSE),"SIN PARO")</f>
        <v>SIN PARO</v>
      </c>
      <c r="L54" s="55"/>
    </row>
    <row r="55" spans="1:12" ht="15" x14ac:dyDescent="0.2">
      <c r="A55" s="17" t="s">
        <v>239</v>
      </c>
      <c r="B55" s="43" t="s">
        <v>242</v>
      </c>
      <c r="C55" s="52"/>
      <c r="D55" s="30" t="str">
        <f>IFERROR(VLOOKUP(C55,DATOS!$E$2:$F$205,2,FALSE),"Sin Datos")</f>
        <v>Sin Datos</v>
      </c>
      <c r="E55" s="52"/>
      <c r="F55" s="36"/>
      <c r="G55" s="36"/>
      <c r="H55" s="36"/>
      <c r="I55" s="39"/>
      <c r="J55" s="27"/>
      <c r="K55" s="30" t="str">
        <f>IFERROR(VLOOKUP(J55,DATOS!$J$2:$K$5,2,FALSE),"SIN PARO")</f>
        <v>SIN PARO</v>
      </c>
      <c r="L55" s="55"/>
    </row>
    <row r="56" spans="1:12" ht="15.75" thickBot="1" x14ac:dyDescent="0.25">
      <c r="A56" s="18" t="s">
        <v>239</v>
      </c>
      <c r="B56" s="44" t="s">
        <v>242</v>
      </c>
      <c r="C56" s="53"/>
      <c r="D56" s="31" t="str">
        <f>IFERROR(VLOOKUP(C56,DATOS!$E$2:$F$205,2,FALSE),"Sin Datos")</f>
        <v>Sin Datos</v>
      </c>
      <c r="E56" s="53"/>
      <c r="F56" s="37"/>
      <c r="G56" s="37"/>
      <c r="H56" s="37"/>
      <c r="I56" s="40"/>
      <c r="J56" s="28"/>
      <c r="K56" s="31" t="str">
        <f>IFERROR(VLOOKUP(J56,DATOS!$J$2:$K$5,2,FALSE),"SIN PARO")</f>
        <v>SIN PARO</v>
      </c>
      <c r="L56" s="56"/>
    </row>
    <row r="57" spans="1:12" ht="15" x14ac:dyDescent="0.2">
      <c r="A57" s="16" t="s">
        <v>239</v>
      </c>
      <c r="B57" s="42" t="s">
        <v>244</v>
      </c>
      <c r="C57" s="52">
        <v>29</v>
      </c>
      <c r="D57" s="29" t="str">
        <f>IFERROR(VLOOKUP(C57,DATOS!$E$2:$F$205,2,FALSE),"Sin Datos")</f>
        <v>CALDERON CUADROS JHONATHAN CAMILO</v>
      </c>
      <c r="E57" s="36">
        <v>1006110</v>
      </c>
      <c r="F57" s="35"/>
      <c r="G57" s="35"/>
      <c r="H57" s="35"/>
      <c r="I57" s="38"/>
      <c r="J57" s="57"/>
      <c r="K57" s="29" t="str">
        <f>IFERROR(VLOOKUP(J57,DATOS!$J$2:$K$5,2,FALSE),"SIN PARO")</f>
        <v>SIN PARO</v>
      </c>
      <c r="L57" s="54"/>
    </row>
    <row r="58" spans="1:12" ht="15" x14ac:dyDescent="0.2">
      <c r="A58" s="17" t="s">
        <v>239</v>
      </c>
      <c r="B58" s="43" t="s">
        <v>245</v>
      </c>
      <c r="C58" s="52">
        <v>157</v>
      </c>
      <c r="D58" s="30" t="str">
        <f>IFERROR(VLOOKUP(C58,DATOS!$E$2:$F$205,2,FALSE),"Sin Datos")</f>
        <v xml:space="preserve">VASQUEZ ZABALETA MARIA DE LOS ANGELES DE LA COROMOTO </v>
      </c>
      <c r="E58" s="33"/>
      <c r="F58" s="36"/>
      <c r="G58" s="36"/>
      <c r="H58" s="36"/>
      <c r="I58" s="39"/>
      <c r="J58" s="58"/>
      <c r="K58" s="30" t="str">
        <f>IFERROR(VLOOKUP(J58,DATOS!$J$2:$K$5,2,FALSE),"SIN PARO")</f>
        <v>SIN PARO</v>
      </c>
      <c r="L58" s="55"/>
    </row>
    <row r="59" spans="1:12" ht="15" x14ac:dyDescent="0.2">
      <c r="A59" s="17" t="s">
        <v>239</v>
      </c>
      <c r="B59" s="43" t="s">
        <v>245</v>
      </c>
      <c r="C59" s="52">
        <v>149</v>
      </c>
      <c r="D59" s="30" t="str">
        <f>IFERROR(VLOOKUP(C59,DATOS!$E$2:$F$205,2,FALSE),"Sin Datos")</f>
        <v>TARAZONA VALBUENA DEXY LISBETH</v>
      </c>
      <c r="E59" s="33"/>
      <c r="F59" s="36"/>
      <c r="G59" s="36"/>
      <c r="H59" s="36"/>
      <c r="I59" s="39"/>
      <c r="J59" s="58"/>
      <c r="K59" s="30" t="str">
        <f>IFERROR(VLOOKUP(J59,DATOS!$J$2:$K$5,2,FALSE),"SIN PARO")</f>
        <v>SIN PARO</v>
      </c>
      <c r="L59" s="55"/>
    </row>
    <row r="60" spans="1:12" ht="15" x14ac:dyDescent="0.2">
      <c r="A60" s="17" t="s">
        <v>239</v>
      </c>
      <c r="B60" s="43" t="s">
        <v>245</v>
      </c>
      <c r="C60" s="52"/>
      <c r="D60" s="30" t="str">
        <f>IFERROR(VLOOKUP(C60,DATOS!$E$2:$F$205,2,FALSE),"Sin Datos")</f>
        <v>Sin Datos</v>
      </c>
      <c r="E60" s="33"/>
      <c r="F60" s="36"/>
      <c r="G60" s="36"/>
      <c r="H60" s="36"/>
      <c r="I60" s="39"/>
      <c r="J60" s="27"/>
      <c r="K60" s="30" t="str">
        <f>IFERROR(VLOOKUP(J60,DATOS!$J$2:$K$5,2,FALSE),"SIN PARO")</f>
        <v>SIN PARO</v>
      </c>
      <c r="L60" s="55"/>
    </row>
    <row r="61" spans="1:12" ht="15.75" thickBot="1" x14ac:dyDescent="0.25">
      <c r="A61" s="18" t="s">
        <v>239</v>
      </c>
      <c r="B61" s="44" t="s">
        <v>245</v>
      </c>
      <c r="C61" s="53"/>
      <c r="D61" s="31" t="str">
        <f>IFERROR(VLOOKUP(C61,DATOS!$E$2:$F$205,2,FALSE),"Sin Datos")</f>
        <v>Sin Datos</v>
      </c>
      <c r="E61" s="33"/>
      <c r="F61" s="37"/>
      <c r="G61" s="37"/>
      <c r="H61" s="37"/>
      <c r="I61" s="40"/>
      <c r="J61" s="28"/>
      <c r="K61" s="31" t="str">
        <f>IFERROR(VLOOKUP(J61,DATOS!$J$2:$K$5,2,FALSE),"SIN PARO")</f>
        <v>SIN PARO</v>
      </c>
      <c r="L61" s="56"/>
    </row>
    <row r="62" spans="1:12" ht="15" x14ac:dyDescent="0.2">
      <c r="A62" s="16" t="s">
        <v>239</v>
      </c>
      <c r="B62" s="42" t="s">
        <v>246</v>
      </c>
      <c r="C62" s="51"/>
      <c r="D62" s="29" t="str">
        <f>IFERROR(VLOOKUP(C62,DATOS!$E$2:$F$205,2,FALSE),"Sin Datos")</f>
        <v>Sin Datos</v>
      </c>
      <c r="E62" s="32"/>
      <c r="F62" s="35"/>
      <c r="G62" s="35"/>
      <c r="H62" s="35"/>
      <c r="I62" s="38"/>
      <c r="J62" s="26"/>
      <c r="K62" s="29" t="str">
        <f>IFERROR(VLOOKUP(J62,DATOS!$J$2:$K$5,2,FALSE),"SIN PARO")</f>
        <v>SIN PARO</v>
      </c>
      <c r="L62" s="54"/>
    </row>
    <row r="63" spans="1:12" ht="15" x14ac:dyDescent="0.2">
      <c r="A63" s="17" t="s">
        <v>239</v>
      </c>
      <c r="B63" s="43" t="s">
        <v>247</v>
      </c>
      <c r="C63" s="52"/>
      <c r="D63" s="30" t="str">
        <f>IFERROR(VLOOKUP(C63,DATOS!$E$2:$F$205,2,FALSE),"Sin Datos")</f>
        <v>Sin Datos</v>
      </c>
      <c r="E63" s="33"/>
      <c r="F63" s="36"/>
      <c r="G63" s="36"/>
      <c r="H63" s="36"/>
      <c r="I63" s="39"/>
      <c r="J63" s="27"/>
      <c r="K63" s="30" t="str">
        <f>IFERROR(VLOOKUP(J63,DATOS!$J$2:$K$5,2,FALSE),"SIN PARO")</f>
        <v>SIN PARO</v>
      </c>
      <c r="L63" s="55"/>
    </row>
    <row r="64" spans="1:12" ht="15" x14ac:dyDescent="0.2">
      <c r="A64" s="17" t="s">
        <v>239</v>
      </c>
      <c r="B64" s="43" t="s">
        <v>247</v>
      </c>
      <c r="C64" s="52"/>
      <c r="D64" s="30" t="str">
        <f>IFERROR(VLOOKUP(C64,DATOS!$E$2:$F$205,2,FALSE),"Sin Datos")</f>
        <v>Sin Datos</v>
      </c>
      <c r="E64" s="33"/>
      <c r="F64" s="36"/>
      <c r="G64" s="36"/>
      <c r="H64" s="36"/>
      <c r="I64" s="39"/>
      <c r="J64" s="27"/>
      <c r="K64" s="30" t="str">
        <f>IFERROR(VLOOKUP(J64,DATOS!$J$2:$K$5,2,FALSE),"SIN PARO")</f>
        <v>SIN PARO</v>
      </c>
      <c r="L64" s="55"/>
    </row>
    <row r="65" spans="1:12" ht="15" x14ac:dyDescent="0.2">
      <c r="A65" s="17" t="s">
        <v>239</v>
      </c>
      <c r="B65" s="43" t="s">
        <v>247</v>
      </c>
      <c r="C65" s="52"/>
      <c r="D65" s="30" t="str">
        <f>IFERROR(VLOOKUP(C65,DATOS!$E$2:$F$205,2,FALSE),"Sin Datos")</f>
        <v>Sin Datos</v>
      </c>
      <c r="E65" s="33"/>
      <c r="F65" s="36"/>
      <c r="G65" s="36"/>
      <c r="H65" s="36"/>
      <c r="I65" s="39"/>
      <c r="J65" s="27"/>
      <c r="K65" s="30" t="str">
        <f>IFERROR(VLOOKUP(J65,DATOS!$J$2:$K$5,2,FALSE),"SIN PARO")</f>
        <v>SIN PARO</v>
      </c>
      <c r="L65" s="55"/>
    </row>
    <row r="66" spans="1:12" ht="15.75" thickBot="1" x14ac:dyDescent="0.25">
      <c r="A66" s="18" t="s">
        <v>239</v>
      </c>
      <c r="B66" s="44" t="s">
        <v>247</v>
      </c>
      <c r="C66" s="53"/>
      <c r="D66" s="31" t="str">
        <f>IFERROR(VLOOKUP(C66,DATOS!$E$2:$F$205,2,FALSE),"Sin Datos")</f>
        <v>Sin Datos</v>
      </c>
      <c r="E66" s="34"/>
      <c r="F66" s="37"/>
      <c r="G66" s="37"/>
      <c r="H66" s="37"/>
      <c r="I66" s="40"/>
      <c r="J66" s="28"/>
      <c r="K66" s="31" t="str">
        <f>IFERROR(VLOOKUP(J66,DATOS!$J$2:$K$5,2,FALSE),"SIN PARO")</f>
        <v>SIN PARO</v>
      </c>
      <c r="L66" s="56"/>
    </row>
    <row r="67" spans="1:12" ht="15" x14ac:dyDescent="0.2">
      <c r="A67" s="16" t="s">
        <v>248</v>
      </c>
      <c r="B67" s="42" t="s">
        <v>290</v>
      </c>
      <c r="C67" s="51"/>
      <c r="D67" s="29" t="str">
        <f>IFERROR(VLOOKUP(C67,DATOS!$E$2:$F$205,2,FALSE),"Sin Datos")</f>
        <v>Sin Datos</v>
      </c>
      <c r="E67" s="32"/>
      <c r="F67" s="35"/>
      <c r="G67" s="35"/>
      <c r="H67" s="35"/>
      <c r="I67" s="38"/>
      <c r="J67" s="26"/>
      <c r="K67" s="29" t="str">
        <f>IFERROR(VLOOKUP(J67,DATOS!$J$2:$K$5,2,FALSE),"SIN PARO")</f>
        <v>SIN PARO</v>
      </c>
      <c r="L67" s="54"/>
    </row>
    <row r="68" spans="1:12" ht="16.5" customHeight="1" x14ac:dyDescent="0.2">
      <c r="A68" s="17" t="s">
        <v>248</v>
      </c>
      <c r="B68" s="43" t="s">
        <v>290</v>
      </c>
      <c r="C68" s="52"/>
      <c r="D68" s="30" t="str">
        <f>IFERROR(VLOOKUP(C68,DATOS!$E$2:$F$205,2,FALSE),"Sin Datos")</f>
        <v>Sin Datos</v>
      </c>
      <c r="E68" s="33"/>
      <c r="F68" s="36"/>
      <c r="G68" s="36"/>
      <c r="H68" s="36"/>
      <c r="I68" s="39"/>
      <c r="J68" s="27"/>
      <c r="K68" s="30" t="str">
        <f>IFERROR(VLOOKUP(J68,DATOS!$J$2:$K$5,2,FALSE),"SIN PARO")</f>
        <v>SIN PARO</v>
      </c>
      <c r="L68" s="55"/>
    </row>
    <row r="69" spans="1:12" ht="16.5" customHeight="1" thickBot="1" x14ac:dyDescent="0.25">
      <c r="A69" s="18" t="s">
        <v>248</v>
      </c>
      <c r="B69" s="44" t="s">
        <v>290</v>
      </c>
      <c r="C69" s="53"/>
      <c r="D69" s="31" t="str">
        <f>IFERROR(VLOOKUP(C69,DATOS!$E$2:$F$205,2,FALSE),"Sin Datos")</f>
        <v>Sin Datos</v>
      </c>
      <c r="E69" s="34"/>
      <c r="F69" s="37"/>
      <c r="G69" s="37"/>
      <c r="H69" s="37"/>
      <c r="I69" s="40"/>
      <c r="J69" s="28"/>
      <c r="K69" s="31" t="str">
        <f>IFERROR(VLOOKUP(J69,DATOS!$J$2:$K$5,2,FALSE),"SIN PARO")</f>
        <v>SIN PARO</v>
      </c>
      <c r="L69" s="56"/>
    </row>
    <row r="70" spans="1:12" ht="15" x14ac:dyDescent="0.2">
      <c r="A70" s="16" t="s">
        <v>248</v>
      </c>
      <c r="B70" s="42" t="s">
        <v>291</v>
      </c>
      <c r="C70" s="51"/>
      <c r="D70" s="29" t="str">
        <f>IFERROR(VLOOKUP(C70,DATOS!$E$2:$F$205,2,FALSE),"Sin Datos")</f>
        <v>Sin Datos</v>
      </c>
      <c r="E70" s="32"/>
      <c r="F70" s="35"/>
      <c r="G70" s="35"/>
      <c r="H70" s="35"/>
      <c r="I70" s="38"/>
      <c r="J70" s="26"/>
      <c r="K70" s="29" t="str">
        <f>IFERROR(VLOOKUP(J70,DATOS!$J$2:$K$5,2,FALSE),"SIN PARO")</f>
        <v>SIN PARO</v>
      </c>
      <c r="L70" s="54"/>
    </row>
    <row r="71" spans="1:12" ht="16.5" customHeight="1" x14ac:dyDescent="0.2">
      <c r="A71" s="17" t="s">
        <v>248</v>
      </c>
      <c r="B71" s="43" t="s">
        <v>291</v>
      </c>
      <c r="C71" s="52"/>
      <c r="D71" s="30" t="str">
        <f>IFERROR(VLOOKUP(C71,DATOS!$E$2:$F$205,2,FALSE),"Sin Datos")</f>
        <v>Sin Datos</v>
      </c>
      <c r="E71" s="33"/>
      <c r="F71" s="36"/>
      <c r="G71" s="36"/>
      <c r="H71" s="36"/>
      <c r="I71" s="39"/>
      <c r="J71" s="27"/>
      <c r="K71" s="30" t="str">
        <f>IFERROR(VLOOKUP(J71,DATOS!$J$2:$K$5,2,FALSE),"SIN PARO")</f>
        <v>SIN PARO</v>
      </c>
      <c r="L71" s="55"/>
    </row>
    <row r="72" spans="1:12" ht="16.5" customHeight="1" thickBot="1" x14ac:dyDescent="0.25">
      <c r="A72" s="18" t="s">
        <v>248</v>
      </c>
      <c r="B72" s="44" t="s">
        <v>291</v>
      </c>
      <c r="C72" s="53"/>
      <c r="D72" s="31" t="str">
        <f>IFERROR(VLOOKUP(C72,DATOS!$E$2:$F$205,2,FALSE),"Sin Datos")</f>
        <v>Sin Datos</v>
      </c>
      <c r="E72" s="34"/>
      <c r="F72" s="37"/>
      <c r="G72" s="37"/>
      <c r="H72" s="37"/>
      <c r="I72" s="40"/>
      <c r="J72" s="28"/>
      <c r="K72" s="31" t="str">
        <f>IFERROR(VLOOKUP(J72,DATOS!$J$2:$K$5,2,FALSE),"SIN PARO")</f>
        <v>SIN PARO</v>
      </c>
      <c r="L72" s="56"/>
    </row>
    <row r="73" spans="1:12" ht="16.5" customHeight="1" x14ac:dyDescent="0.2">
      <c r="A73" s="16" t="s">
        <v>249</v>
      </c>
      <c r="B73" s="42" t="s">
        <v>255</v>
      </c>
      <c r="C73" s="51"/>
      <c r="D73" s="29" t="str">
        <f>IFERROR(VLOOKUP(C73,DATOS!$E$2:$F$205,2,FALSE),"Sin Datos")</f>
        <v>Sin Datos</v>
      </c>
      <c r="E73" s="32"/>
      <c r="F73" s="35"/>
      <c r="G73" s="35"/>
      <c r="H73" s="35"/>
      <c r="I73" s="38"/>
      <c r="J73" s="26"/>
      <c r="K73" s="29" t="str">
        <f>IFERROR(VLOOKUP(J73,DATOS!$J$2:$K$5,2,FALSE),"SIN PARO")</f>
        <v>SIN PARO</v>
      </c>
      <c r="L73" s="54"/>
    </row>
    <row r="74" spans="1:12" ht="16.5" customHeight="1" x14ac:dyDescent="0.2">
      <c r="A74" s="17" t="s">
        <v>249</v>
      </c>
      <c r="B74" s="43" t="s">
        <v>255</v>
      </c>
      <c r="C74" s="52"/>
      <c r="D74" s="30" t="str">
        <f>IFERROR(VLOOKUP(C74,DATOS!$E$2:$F$205,2,FALSE),"Sin Datos")</f>
        <v>Sin Datos</v>
      </c>
      <c r="E74" s="52"/>
      <c r="F74" s="36"/>
      <c r="G74" s="36"/>
      <c r="H74" s="36"/>
      <c r="I74" s="39"/>
      <c r="J74" s="27"/>
      <c r="K74" s="30" t="str">
        <f>IFERROR(VLOOKUP(J74,DATOS!$J$2:$K$5,2,FALSE),"SIN PARO")</f>
        <v>SIN PARO</v>
      </c>
      <c r="L74" s="55"/>
    </row>
    <row r="75" spans="1:12" ht="16.5" customHeight="1" x14ac:dyDescent="0.2">
      <c r="A75" s="17" t="s">
        <v>249</v>
      </c>
      <c r="B75" s="43" t="s">
        <v>255</v>
      </c>
      <c r="C75" s="52"/>
      <c r="D75" s="30" t="str">
        <f>IFERROR(VLOOKUP(C75,DATOS!$E$2:$F$205,2,FALSE),"Sin Datos")</f>
        <v>Sin Datos</v>
      </c>
      <c r="E75" s="33"/>
      <c r="F75" s="36"/>
      <c r="G75" s="36"/>
      <c r="H75" s="36"/>
      <c r="I75" s="39"/>
      <c r="J75" s="27"/>
      <c r="K75" s="30" t="str">
        <f>IFERROR(VLOOKUP(J75,DATOS!$J$2:$K$5,2,FALSE),"SIN PARO")</f>
        <v>SIN PARO</v>
      </c>
      <c r="L75" s="55"/>
    </row>
    <row r="76" spans="1:12" ht="16.5" customHeight="1" x14ac:dyDescent="0.2">
      <c r="A76" s="17" t="s">
        <v>249</v>
      </c>
      <c r="B76" s="43" t="s">
        <v>255</v>
      </c>
      <c r="C76" s="52"/>
      <c r="D76" s="30" t="str">
        <f>IFERROR(VLOOKUP(C76,DATOS!$E$2:$F$205,2,FALSE),"Sin Datos")</f>
        <v>Sin Datos</v>
      </c>
      <c r="E76" s="52"/>
      <c r="F76" s="36"/>
      <c r="G76" s="36"/>
      <c r="H76" s="36"/>
      <c r="I76" s="39"/>
      <c r="J76" s="58"/>
      <c r="K76" s="30" t="str">
        <f>IFERROR(VLOOKUP(J76,DATOS!$J$2:$K$5,2,FALSE),"SIN PARO")</f>
        <v>SIN PARO</v>
      </c>
      <c r="L76" s="55"/>
    </row>
    <row r="77" spans="1:12" ht="16.5" customHeight="1" x14ac:dyDescent="0.2">
      <c r="A77" s="17" t="s">
        <v>249</v>
      </c>
      <c r="B77" s="43" t="s">
        <v>255</v>
      </c>
      <c r="C77" s="52"/>
      <c r="D77" s="30" t="str">
        <f>IFERROR(VLOOKUP(C77,DATOS!$E$2:$F$205,2,FALSE),"Sin Datos")</f>
        <v>Sin Datos</v>
      </c>
      <c r="E77" s="52"/>
      <c r="F77" s="36"/>
      <c r="G77" s="36"/>
      <c r="H77" s="36"/>
      <c r="I77" s="39"/>
      <c r="J77" s="58"/>
      <c r="K77" s="30" t="str">
        <f>IFERROR(VLOOKUP(J77,DATOS!$J$2:$K$5,2,FALSE),"SIN PARO")</f>
        <v>SIN PARO</v>
      </c>
      <c r="L77" s="55"/>
    </row>
    <row r="78" spans="1:12" ht="16.5" customHeight="1" thickBot="1" x14ac:dyDescent="0.25">
      <c r="A78" s="18" t="s">
        <v>249</v>
      </c>
      <c r="B78" s="44" t="s">
        <v>255</v>
      </c>
      <c r="C78" s="53"/>
      <c r="D78" s="31" t="str">
        <f>IFERROR(VLOOKUP(C78,DATOS!$E$2:$F$205,2,FALSE),"Sin Datos")</f>
        <v>Sin Datos</v>
      </c>
      <c r="E78" s="53"/>
      <c r="F78" s="37"/>
      <c r="G78" s="37"/>
      <c r="H78" s="37"/>
      <c r="I78" s="40"/>
      <c r="J78" s="59"/>
      <c r="K78" s="31" t="str">
        <f>IFERROR(VLOOKUP(J78,DATOS!$J$2:$K$5,2,FALSE),"SIN PARO")</f>
        <v>SIN PARO</v>
      </c>
      <c r="L78" s="56"/>
    </row>
    <row r="79" spans="1:12" ht="16.5" customHeight="1" thickBot="1" x14ac:dyDescent="0.25">
      <c r="A79" s="70" t="s">
        <v>250</v>
      </c>
      <c r="B79" s="71" t="s">
        <v>256</v>
      </c>
      <c r="C79" s="72"/>
      <c r="D79" s="73" t="str">
        <f>IFERROR(VLOOKUP(C79,DATOS!$E$2:$F$205,2,FALSE),"Sin Datos")</f>
        <v>Sin Datos</v>
      </c>
      <c r="E79" s="72"/>
      <c r="F79" s="74"/>
      <c r="G79" s="74"/>
      <c r="H79" s="74"/>
      <c r="I79" s="75"/>
      <c r="J79" s="76"/>
      <c r="K79" s="73" t="str">
        <f>IFERROR(VLOOKUP(J79,DATOS!$J$2:$K$5,2,FALSE),"SIN PARO")</f>
        <v>SIN PARO</v>
      </c>
      <c r="L79" s="77"/>
    </row>
    <row r="80" spans="1:12" ht="30" x14ac:dyDescent="0.2">
      <c r="A80" s="16" t="s">
        <v>261</v>
      </c>
      <c r="B80" s="42" t="s">
        <v>255</v>
      </c>
      <c r="C80" s="51"/>
      <c r="D80" s="29" t="str">
        <f>IFERROR(VLOOKUP(C80,DATOS!$E$2:$F$205,2,FALSE),"Sin Datos")</f>
        <v>Sin Datos</v>
      </c>
      <c r="E80" s="35"/>
      <c r="F80" s="35"/>
      <c r="G80" s="35"/>
      <c r="H80" s="35"/>
      <c r="I80" s="38"/>
      <c r="J80" s="57"/>
      <c r="K80" s="29" t="str">
        <f>IFERROR(VLOOKUP(J80,DATOS!$J$2:$K$5,2,FALSE),"SIN PARO")</f>
        <v>SIN PARO</v>
      </c>
      <c r="L80" s="54"/>
    </row>
    <row r="81" spans="1:12" ht="30.75" thickBot="1" x14ac:dyDescent="0.25">
      <c r="A81" s="18" t="s">
        <v>261</v>
      </c>
      <c r="B81" s="44" t="s">
        <v>255</v>
      </c>
      <c r="C81" s="53"/>
      <c r="D81" s="31" t="str">
        <f>IFERROR(VLOOKUP(C81,DATOS!$E$2:$F$205,2,FALSE),"Sin Datos")</f>
        <v>Sin Datos</v>
      </c>
      <c r="E81" s="37"/>
      <c r="F81" s="37"/>
      <c r="G81" s="37"/>
      <c r="H81" s="37"/>
      <c r="I81" s="40"/>
      <c r="J81" s="59"/>
      <c r="K81" s="31" t="str">
        <f>IFERROR(VLOOKUP(J81,DATOS!$J$2:$K$5,2,FALSE),"SIN PARO")</f>
        <v>SIN PARO</v>
      </c>
      <c r="L81" s="56"/>
    </row>
    <row r="82" spans="1:12" ht="16.5" customHeight="1" x14ac:dyDescent="0.2">
      <c r="A82" s="16" t="s">
        <v>251</v>
      </c>
      <c r="B82" s="42" t="s">
        <v>255</v>
      </c>
      <c r="C82" s="51"/>
      <c r="D82" s="29" t="str">
        <f>IFERROR(VLOOKUP(C82,DATOS!$E$2:$F$205,2,FALSE),"Sin Datos")</f>
        <v>Sin Datos</v>
      </c>
      <c r="E82" s="51"/>
      <c r="F82" s="35"/>
      <c r="G82" s="35"/>
      <c r="H82" s="35"/>
      <c r="I82" s="38"/>
      <c r="J82" s="57"/>
      <c r="K82" s="29" t="str">
        <f>IFERROR(VLOOKUP(J82,DATOS!$J$2:$K$5,2,FALSE),"SIN PARO")</f>
        <v>SIN PARO</v>
      </c>
      <c r="L82" s="54"/>
    </row>
    <row r="83" spans="1:12" ht="16.5" customHeight="1" x14ac:dyDescent="0.2">
      <c r="A83" s="17" t="s">
        <v>251</v>
      </c>
      <c r="B83" s="43" t="s">
        <v>255</v>
      </c>
      <c r="C83" s="52"/>
      <c r="D83" s="30" t="str">
        <f>IFERROR(VLOOKUP(C83,DATOS!$E$2:$F$205,2,FALSE),"Sin Datos")</f>
        <v>Sin Datos</v>
      </c>
      <c r="E83" s="52"/>
      <c r="F83" s="36"/>
      <c r="G83" s="36"/>
      <c r="H83" s="36"/>
      <c r="I83" s="48"/>
      <c r="J83" s="58"/>
      <c r="K83" s="30" t="str">
        <f>IFERROR(VLOOKUP(J83,DATOS!$J$2:$K$5,2,FALSE),"SIN PARO")</f>
        <v>SIN PARO</v>
      </c>
      <c r="L83" s="55"/>
    </row>
    <row r="84" spans="1:12" ht="16.5" customHeight="1" x14ac:dyDescent="0.2">
      <c r="A84" s="17" t="s">
        <v>251</v>
      </c>
      <c r="B84" s="43" t="s">
        <v>255</v>
      </c>
      <c r="C84" s="52"/>
      <c r="D84" s="30" t="str">
        <f>IFERROR(VLOOKUP(C84,DATOS!$E$2:$F$205,2,FALSE),"Sin Datos")</f>
        <v>Sin Datos</v>
      </c>
      <c r="E84" s="52"/>
      <c r="F84" s="36"/>
      <c r="G84" s="36"/>
      <c r="H84" s="36"/>
      <c r="I84" s="48"/>
      <c r="J84" s="58"/>
      <c r="K84" s="30" t="str">
        <f>IFERROR(VLOOKUP(J84,DATOS!$J$2:$K$5,2,FALSE),"SIN PARO")</f>
        <v>SIN PARO</v>
      </c>
      <c r="L84" s="55"/>
    </row>
    <row r="85" spans="1:12" ht="16.5" customHeight="1" thickBot="1" x14ac:dyDescent="0.25">
      <c r="A85" s="18" t="s">
        <v>251</v>
      </c>
      <c r="B85" s="44" t="s">
        <v>255</v>
      </c>
      <c r="C85" s="53"/>
      <c r="D85" s="31" t="str">
        <f>IFERROR(VLOOKUP(C85,DATOS!$E$2:$F$205,2,FALSE),"Sin Datos")</f>
        <v>Sin Datos</v>
      </c>
      <c r="E85" s="53"/>
      <c r="F85" s="37"/>
      <c r="G85" s="37"/>
      <c r="H85" s="37"/>
      <c r="I85" s="40"/>
      <c r="J85" s="59"/>
      <c r="K85" s="31" t="str">
        <f>IFERROR(VLOOKUP(J85,DATOS!$J$2:$K$5,2,FALSE),"SIN PARO")</f>
        <v>SIN PARO</v>
      </c>
      <c r="L85" s="56"/>
    </row>
    <row r="86" spans="1:12" ht="16.5" customHeight="1" x14ac:dyDescent="0.2">
      <c r="A86" s="16" t="s">
        <v>14</v>
      </c>
      <c r="B86" s="42" t="s">
        <v>258</v>
      </c>
      <c r="C86" s="51"/>
      <c r="D86" s="29" t="str">
        <f>IFERROR(VLOOKUP(C86,DATOS!$E$2:$F$205,2,FALSE),"Sin Datos")</f>
        <v>Sin Datos</v>
      </c>
      <c r="E86" s="35"/>
      <c r="F86" s="35"/>
      <c r="G86" s="35"/>
      <c r="H86" s="35"/>
      <c r="I86" s="38"/>
      <c r="J86" s="57"/>
      <c r="K86" s="29" t="str">
        <f>IFERROR(VLOOKUP(J86,DATOS!$J$2:$K$5,2,FALSE),"SIN PARO")</f>
        <v>SIN PARO</v>
      </c>
      <c r="L86" s="54"/>
    </row>
    <row r="87" spans="1:12" ht="16.5" customHeight="1" thickBot="1" x14ac:dyDescent="0.25">
      <c r="A87" s="18" t="s">
        <v>14</v>
      </c>
      <c r="B87" s="44" t="s">
        <v>258</v>
      </c>
      <c r="C87" s="53"/>
      <c r="D87" s="31" t="str">
        <f>IFERROR(VLOOKUP(C87,DATOS!$E$2:$F$205,2,FALSE),"Sin Datos")</f>
        <v>Sin Datos</v>
      </c>
      <c r="E87" s="37"/>
      <c r="F87" s="37"/>
      <c r="G87" s="37"/>
      <c r="H87" s="37"/>
      <c r="I87" s="40"/>
      <c r="J87" s="59"/>
      <c r="K87" s="31" t="str">
        <f>IFERROR(VLOOKUP(J87,DATOS!$J$2:$K$5,2,FALSE),"SIN PARO")</f>
        <v>SIN PARO</v>
      </c>
      <c r="L87" s="56"/>
    </row>
    <row r="88" spans="1:12" ht="30" x14ac:dyDescent="0.2">
      <c r="A88" s="16" t="s">
        <v>253</v>
      </c>
      <c r="B88" s="93" t="s">
        <v>253</v>
      </c>
      <c r="C88" s="51"/>
      <c r="D88" s="29" t="str">
        <f>IFERROR(VLOOKUP(C88,DATOS!$E$2:$F$205,2,FALSE),"Sin Datos")</f>
        <v>Sin Datos</v>
      </c>
      <c r="E88" s="51"/>
      <c r="F88" s="35"/>
      <c r="G88" s="35"/>
      <c r="H88" s="35"/>
      <c r="I88" s="38"/>
      <c r="J88" s="57"/>
      <c r="K88" s="29" t="str">
        <f>IFERROR(VLOOKUP(J88,DATOS!$J$2:$K$5,2,FALSE),"SIN PARO")</f>
        <v>SIN PARO</v>
      </c>
      <c r="L88" s="54"/>
    </row>
    <row r="89" spans="1:12" ht="30" x14ac:dyDescent="0.2">
      <c r="A89" s="17" t="s">
        <v>253</v>
      </c>
      <c r="B89" s="91" t="s">
        <v>253</v>
      </c>
      <c r="C89" s="52"/>
      <c r="D89" s="30" t="str">
        <f>IFERROR(VLOOKUP(C89,DATOS!$E$2:$F$205,2,FALSE),"Sin Datos")</f>
        <v>Sin Datos</v>
      </c>
      <c r="E89" s="52"/>
      <c r="F89" s="36"/>
      <c r="G89" s="36"/>
      <c r="H89" s="36"/>
      <c r="I89" s="39"/>
      <c r="J89" s="58"/>
      <c r="K89" s="30" t="str">
        <f>IFERROR(VLOOKUP(J89,DATOS!$J$2:$K$5,2,FALSE),"SIN PARO")</f>
        <v>SIN PARO</v>
      </c>
      <c r="L89" s="55"/>
    </row>
    <row r="90" spans="1:12" ht="30.75" thickBot="1" x14ac:dyDescent="0.25">
      <c r="A90" s="18" t="s">
        <v>253</v>
      </c>
      <c r="B90" s="92" t="s">
        <v>253</v>
      </c>
      <c r="C90" s="53"/>
      <c r="D90" s="31" t="str">
        <f>IFERROR(VLOOKUP(C90,DATOS!$E$2:$F$205,2,FALSE),"Sin Datos")</f>
        <v>Sin Datos</v>
      </c>
      <c r="E90" s="53"/>
      <c r="F90" s="37"/>
      <c r="G90" s="37"/>
      <c r="H90" s="37"/>
      <c r="I90" s="40"/>
      <c r="J90" s="59"/>
      <c r="K90" s="31" t="str">
        <f>IFERROR(VLOOKUP(J90,DATOS!$J$2:$K$5,2,FALSE),"SIN PARO")</f>
        <v>SIN PARO</v>
      </c>
      <c r="L90" s="56"/>
    </row>
    <row r="91" spans="1:12" ht="15" x14ac:dyDescent="0.2">
      <c r="A91" s="47" t="s">
        <v>32</v>
      </c>
      <c r="B91" s="42" t="s">
        <v>32</v>
      </c>
      <c r="C91" s="51"/>
      <c r="D91" s="29" t="str">
        <f>IFERROR(VLOOKUP(C91,DATOS!$E$2:$F$205,2,FALSE),"Sin Datos")</f>
        <v>Sin Datos</v>
      </c>
      <c r="E91" s="51"/>
      <c r="F91" s="35"/>
      <c r="G91" s="35"/>
      <c r="H91" s="35"/>
      <c r="I91" s="38"/>
      <c r="J91" s="57"/>
      <c r="K91" s="29" t="str">
        <f>IFERROR(VLOOKUP(J91,DATOS!$J$2:$K$5,2,FALSE),"SIN PARO")</f>
        <v>SIN PARO</v>
      </c>
      <c r="L91" s="54"/>
    </row>
    <row r="92" spans="1:12" ht="15" x14ac:dyDescent="0.2">
      <c r="A92" s="49" t="s">
        <v>32</v>
      </c>
      <c r="B92" s="43" t="s">
        <v>32</v>
      </c>
      <c r="C92" s="52"/>
      <c r="D92" s="30" t="str">
        <f>IFERROR(VLOOKUP(C92,DATOS!$E$2:$F$205,2,FALSE),"Sin Datos")</f>
        <v>Sin Datos</v>
      </c>
      <c r="E92" s="52"/>
      <c r="F92" s="36"/>
      <c r="G92" s="36"/>
      <c r="H92" s="36"/>
      <c r="I92" s="39"/>
      <c r="J92" s="58"/>
      <c r="K92" s="30" t="str">
        <f>IFERROR(VLOOKUP(J92,DATOS!$J$2:$K$5,2,FALSE),"SIN PARO")</f>
        <v>SIN PARO</v>
      </c>
      <c r="L92" s="55"/>
    </row>
    <row r="93" spans="1:12" ht="15.75" thickBot="1" x14ac:dyDescent="0.25">
      <c r="A93" s="50" t="s">
        <v>32</v>
      </c>
      <c r="B93" s="44" t="s">
        <v>32</v>
      </c>
      <c r="C93" s="53"/>
      <c r="D93" s="31" t="str">
        <f>IFERROR(VLOOKUP(C93,DATOS!$E$2:$F$205,2,FALSE),"Sin Datos")</f>
        <v>Sin Datos</v>
      </c>
      <c r="E93" s="53"/>
      <c r="F93" s="37"/>
      <c r="G93" s="37"/>
      <c r="H93" s="37"/>
      <c r="I93" s="40"/>
      <c r="J93" s="59"/>
      <c r="K93" s="31" t="str">
        <f>IFERROR(VLOOKUP(J93,DATOS!$J$2:$K$5,2,FALSE),"SIN PARO")</f>
        <v>SIN PARO</v>
      </c>
      <c r="L93" s="56"/>
    </row>
    <row r="94" spans="1:12" ht="15" x14ac:dyDescent="0.2">
      <c r="A94" s="16" t="s">
        <v>254</v>
      </c>
      <c r="B94" s="42" t="s">
        <v>254</v>
      </c>
      <c r="C94" s="51"/>
      <c r="D94" s="29" t="str">
        <f>IFERROR(VLOOKUP(C94,DATOS!$E$2:$F$205,2,FALSE),"Sin Datos")</f>
        <v>Sin Datos</v>
      </c>
      <c r="E94" s="51"/>
      <c r="F94" s="35"/>
      <c r="G94" s="35"/>
      <c r="H94" s="35"/>
      <c r="I94" s="38"/>
      <c r="J94" s="57"/>
      <c r="K94" s="29" t="str">
        <f>IFERROR(VLOOKUP(J94,DATOS!$J$2:$K$5,2,FALSE),"SIN PARO")</f>
        <v>SIN PARO</v>
      </c>
      <c r="L94" s="54"/>
    </row>
    <row r="95" spans="1:12" ht="15" x14ac:dyDescent="0.2">
      <c r="A95" s="79" t="s">
        <v>254</v>
      </c>
      <c r="B95" s="80" t="s">
        <v>254</v>
      </c>
      <c r="C95" s="52"/>
      <c r="D95" s="82" t="str">
        <f>IFERROR(VLOOKUP(C95,DATOS!$E$2:$F$205,2,FALSE),"Sin Datos")</f>
        <v>Sin Datos</v>
      </c>
      <c r="E95" s="81"/>
      <c r="F95" s="83"/>
      <c r="G95" s="83"/>
      <c r="H95" s="83"/>
      <c r="I95" s="86"/>
      <c r="J95" s="84"/>
      <c r="K95" s="82" t="str">
        <f>IFERROR(VLOOKUP(J95,DATOS!$J$2:$K$5,2,FALSE),"SIN PARO")</f>
        <v>SIN PARO</v>
      </c>
      <c r="L95" s="85"/>
    </row>
    <row r="96" spans="1:12" ht="15.75" thickBot="1" x14ac:dyDescent="0.25">
      <c r="A96" s="18" t="s">
        <v>254</v>
      </c>
      <c r="B96" s="44" t="s">
        <v>254</v>
      </c>
      <c r="C96" s="53"/>
      <c r="D96" s="31" t="str">
        <f>IFERROR(VLOOKUP(C96,DATOS!$E$2:$F$205,2,FALSE),"Sin Datos")</f>
        <v>Sin Datos</v>
      </c>
      <c r="E96" s="53"/>
      <c r="F96" s="37"/>
      <c r="G96" s="37"/>
      <c r="H96" s="37"/>
      <c r="I96" s="40"/>
      <c r="J96" s="59"/>
      <c r="K96" s="31" t="str">
        <f>IFERROR(VLOOKUP(J96,DATOS!$J$2:$K$5,2,FALSE),"SIN PARO")</f>
        <v>SIN PARO</v>
      </c>
      <c r="L96" s="56"/>
    </row>
    <row r="97" spans="1:12" ht="15" x14ac:dyDescent="0.2">
      <c r="A97" s="16" t="s">
        <v>31</v>
      </c>
      <c r="B97" s="42" t="s">
        <v>31</v>
      </c>
      <c r="C97" s="51"/>
      <c r="D97" s="29" t="str">
        <f>IFERROR(VLOOKUP(C97,DATOS!$E$2:$F$205,2,FALSE),"Sin Datos")</f>
        <v>Sin Datos</v>
      </c>
      <c r="E97" s="35"/>
      <c r="F97" s="35"/>
      <c r="G97" s="35"/>
      <c r="H97" s="35"/>
      <c r="I97" s="38"/>
      <c r="J97" s="57"/>
      <c r="K97" s="29" t="str">
        <f>IFERROR(VLOOKUP(J97,DATOS!$J$2:$K$5,2,FALSE),"SIN PARO")</f>
        <v>SIN PARO</v>
      </c>
      <c r="L97" s="54"/>
    </row>
    <row r="98" spans="1:12" ht="15" x14ac:dyDescent="0.2">
      <c r="A98" s="17" t="s">
        <v>31</v>
      </c>
      <c r="B98" s="43" t="s">
        <v>31</v>
      </c>
      <c r="C98" s="52"/>
      <c r="D98" s="30" t="str">
        <f>IFERROR(VLOOKUP(C98,DATOS!$E$2:$F$205,2,FALSE),"Sin Datos")</f>
        <v>Sin Datos</v>
      </c>
      <c r="E98" s="36"/>
      <c r="F98" s="36"/>
      <c r="G98" s="36"/>
      <c r="H98" s="36"/>
      <c r="I98" s="39"/>
      <c r="J98" s="58"/>
      <c r="K98" s="30" t="str">
        <f>IFERROR(VLOOKUP(J98,DATOS!$J$2:$K$5,2,FALSE),"SIN PARO")</f>
        <v>SIN PARO</v>
      </c>
      <c r="L98" s="55"/>
    </row>
    <row r="99" spans="1:12" ht="15" x14ac:dyDescent="0.2">
      <c r="A99" s="17" t="s">
        <v>31</v>
      </c>
      <c r="B99" s="43" t="s">
        <v>31</v>
      </c>
      <c r="C99" s="52"/>
      <c r="D99" s="30" t="str">
        <f>IFERROR(VLOOKUP(C99,DATOS!$E$2:$F$205,2,FALSE),"Sin Datos")</f>
        <v>Sin Datos</v>
      </c>
      <c r="E99" s="52"/>
      <c r="F99" s="36"/>
      <c r="G99" s="36"/>
      <c r="H99" s="36"/>
      <c r="I99" s="39"/>
      <c r="J99" s="58"/>
      <c r="K99" s="30" t="str">
        <f>IFERROR(VLOOKUP(J99,DATOS!$J$2:$K$5,2,FALSE),"SIN PARO")</f>
        <v>SIN PARO</v>
      </c>
      <c r="L99" s="55"/>
    </row>
    <row r="100" spans="1:12" ht="15" x14ac:dyDescent="0.2">
      <c r="A100" s="17" t="s">
        <v>31</v>
      </c>
      <c r="B100" s="43" t="s">
        <v>31</v>
      </c>
      <c r="C100" s="52"/>
      <c r="D100" s="30" t="str">
        <f>IFERROR(VLOOKUP(C100,DATOS!$E$2:$F$205,2,FALSE),"Sin Datos")</f>
        <v>Sin Datos</v>
      </c>
      <c r="E100" s="52"/>
      <c r="F100" s="36"/>
      <c r="G100" s="36"/>
      <c r="H100" s="36"/>
      <c r="I100" s="39"/>
      <c r="J100" s="58"/>
      <c r="K100" s="30" t="str">
        <f>IFERROR(VLOOKUP(J100,DATOS!$J$2:$K$5,2,FALSE),"SIN PARO")</f>
        <v>SIN PARO</v>
      </c>
      <c r="L100" s="55"/>
    </row>
    <row r="101" spans="1:12" ht="15.75" thickBot="1" x14ac:dyDescent="0.25">
      <c r="A101" s="18" t="s">
        <v>31</v>
      </c>
      <c r="B101" s="44" t="s">
        <v>31</v>
      </c>
      <c r="C101" s="53"/>
      <c r="D101" s="31" t="str">
        <f>IFERROR(VLOOKUP(C101,DATOS!$E$2:$F$205,2,FALSE),"Sin Datos")</f>
        <v>Sin Datos</v>
      </c>
      <c r="E101" s="53"/>
      <c r="F101" s="37"/>
      <c r="G101" s="37"/>
      <c r="H101" s="37"/>
      <c r="I101" s="40"/>
      <c r="J101" s="59"/>
      <c r="K101" s="31" t="str">
        <f>IFERROR(VLOOKUP(J101,DATOS!$J$2:$K$5,2,FALSE),"SIN PARO")</f>
        <v>SIN PARO</v>
      </c>
      <c r="L101" s="56"/>
    </row>
    <row r="102" spans="1:12" ht="30" x14ac:dyDescent="0.2">
      <c r="A102" s="16" t="s">
        <v>296</v>
      </c>
      <c r="B102" s="42" t="s">
        <v>297</v>
      </c>
      <c r="C102" s="51"/>
      <c r="D102" s="29" t="str">
        <f>IFERROR(VLOOKUP(C102,DATOS!$E$2:$F$205,2,FALSE),"Sin Datos")</f>
        <v>Sin Datos</v>
      </c>
      <c r="E102" s="35"/>
      <c r="F102" s="35"/>
      <c r="G102" s="35"/>
      <c r="H102" s="35"/>
      <c r="I102" s="38"/>
      <c r="J102" s="57"/>
      <c r="K102" s="29" t="str">
        <f>IFERROR(VLOOKUP(J102,DATOS!$J$2:$K$5,2,FALSE),"SIN PARO")</f>
        <v>SIN PARO</v>
      </c>
      <c r="L102" s="54"/>
    </row>
    <row r="103" spans="1:12" ht="30.75" thickBot="1" x14ac:dyDescent="0.25">
      <c r="A103" s="18" t="s">
        <v>296</v>
      </c>
      <c r="B103" s="44" t="s">
        <v>297</v>
      </c>
      <c r="C103" s="53"/>
      <c r="D103" s="31" t="str">
        <f>IFERROR(VLOOKUP(C103,DATOS!$E$2:$F$205,2,FALSE),"Sin Datos")</f>
        <v>Sin Datos</v>
      </c>
      <c r="E103" s="53"/>
      <c r="F103" s="37"/>
      <c r="G103" s="37"/>
      <c r="H103" s="37"/>
      <c r="I103" s="40"/>
      <c r="J103" s="59"/>
      <c r="K103" s="31" t="str">
        <f>IFERROR(VLOOKUP(J103,DATOS!$J$2:$K$5,2,FALSE),"SIN PARO")</f>
        <v>SIN PARO</v>
      </c>
      <c r="L103" s="56"/>
    </row>
    <row r="104" spans="1:12" ht="30" x14ac:dyDescent="0.2">
      <c r="A104" s="16" t="s">
        <v>298</v>
      </c>
      <c r="B104" s="42" t="s">
        <v>297</v>
      </c>
      <c r="C104" s="51"/>
      <c r="D104" s="29" t="str">
        <f>IFERROR(VLOOKUP(C104,DATOS!$E$2:$F$205,2,FALSE),"Sin Datos")</f>
        <v>Sin Datos</v>
      </c>
      <c r="E104" s="35"/>
      <c r="F104" s="35"/>
      <c r="G104" s="35"/>
      <c r="H104" s="35"/>
      <c r="I104" s="38"/>
      <c r="J104" s="57"/>
      <c r="K104" s="29" t="str">
        <f>IFERROR(VLOOKUP(J104,DATOS!$J$2:$K$5,2,FALSE),"SIN PARO")</f>
        <v>SIN PARO</v>
      </c>
      <c r="L104" s="54"/>
    </row>
    <row r="105" spans="1:12" ht="30.75" thickBot="1" x14ac:dyDescent="0.25">
      <c r="A105" s="18" t="s">
        <v>298</v>
      </c>
      <c r="B105" s="44" t="s">
        <v>297</v>
      </c>
      <c r="C105" s="53"/>
      <c r="D105" s="31" t="str">
        <f>IFERROR(VLOOKUP(C105,DATOS!$E$2:$F$205,2,FALSE),"Sin Datos")</f>
        <v>Sin Datos</v>
      </c>
      <c r="E105" s="53"/>
      <c r="F105" s="37"/>
      <c r="G105" s="37"/>
      <c r="H105" s="37"/>
      <c r="I105" s="40"/>
      <c r="J105" s="59"/>
      <c r="K105" s="31" t="str">
        <f>IFERROR(VLOOKUP(J105,DATOS!$J$2:$K$5,2,FALSE),"SIN PARO")</f>
        <v>SIN PARO</v>
      </c>
      <c r="L105" s="56"/>
    </row>
    <row r="106" spans="1:12" ht="45" x14ac:dyDescent="0.2">
      <c r="A106" s="16" t="s">
        <v>299</v>
      </c>
      <c r="B106" s="42" t="s">
        <v>297</v>
      </c>
      <c r="C106" s="51"/>
      <c r="D106" s="29" t="str">
        <f>IFERROR(VLOOKUP(C106,DATOS!$E$2:$F$205,2,FALSE),"Sin Datos")</f>
        <v>Sin Datos</v>
      </c>
      <c r="E106" s="35"/>
      <c r="F106" s="35"/>
      <c r="G106" s="35"/>
      <c r="H106" s="35"/>
      <c r="I106" s="38"/>
      <c r="J106" s="57"/>
      <c r="K106" s="29" t="str">
        <f>IFERROR(VLOOKUP(J106,DATOS!$J$2:$K$5,2,FALSE),"SIN PARO")</f>
        <v>SIN PARO</v>
      </c>
      <c r="L106" s="54"/>
    </row>
    <row r="107" spans="1:12" ht="45.75" thickBot="1" x14ac:dyDescent="0.25">
      <c r="A107" s="18" t="s">
        <v>299</v>
      </c>
      <c r="B107" s="44" t="s">
        <v>297</v>
      </c>
      <c r="C107" s="53"/>
      <c r="D107" s="31" t="str">
        <f>IFERROR(VLOOKUP(C107,DATOS!$E$2:$F$205,2,FALSE),"Sin Datos")</f>
        <v>Sin Datos</v>
      </c>
      <c r="E107" s="53"/>
      <c r="F107" s="37"/>
      <c r="G107" s="37"/>
      <c r="H107" s="37"/>
      <c r="I107" s="40"/>
      <c r="J107" s="59"/>
      <c r="K107" s="31" t="str">
        <f>IFERROR(VLOOKUP(J107,DATOS!$J$2:$K$5,2,FALSE),"SIN PARO")</f>
        <v>SIN PARO</v>
      </c>
      <c r="L107" s="56"/>
    </row>
    <row r="108" spans="1:12" ht="45" x14ac:dyDescent="0.2">
      <c r="A108" s="16" t="s">
        <v>300</v>
      </c>
      <c r="B108" s="42" t="s">
        <v>297</v>
      </c>
      <c r="C108" s="51"/>
      <c r="D108" s="29" t="str">
        <f>IFERROR(VLOOKUP(C108,DATOS!$E$2:$F$205,2,FALSE),"Sin Datos")</f>
        <v>Sin Datos</v>
      </c>
      <c r="E108" s="35"/>
      <c r="F108" s="35"/>
      <c r="G108" s="35"/>
      <c r="H108" s="35"/>
      <c r="I108" s="38"/>
      <c r="J108" s="57"/>
      <c r="K108" s="29" t="str">
        <f>IFERROR(VLOOKUP(J108,DATOS!$J$2:$K$5,2,FALSE),"SIN PARO")</f>
        <v>SIN PARO</v>
      </c>
      <c r="L108" s="54"/>
    </row>
    <row r="109" spans="1:12" ht="45.75" thickBot="1" x14ac:dyDescent="0.25">
      <c r="A109" s="18" t="s">
        <v>300</v>
      </c>
      <c r="B109" s="44" t="s">
        <v>297</v>
      </c>
      <c r="C109" s="53"/>
      <c r="D109" s="31" t="str">
        <f>IFERROR(VLOOKUP(C109,DATOS!$E$2:$F$205,2,FALSE),"Sin Datos")</f>
        <v>Sin Datos</v>
      </c>
      <c r="E109" s="53"/>
      <c r="F109" s="37"/>
      <c r="G109" s="37"/>
      <c r="H109" s="37"/>
      <c r="I109" s="40"/>
      <c r="J109" s="59"/>
      <c r="K109" s="31" t="str">
        <f>IFERROR(VLOOKUP(J109,DATOS!$J$2:$K$5,2,FALSE),"SIN PARO")</f>
        <v>SIN PARO</v>
      </c>
      <c r="L109" s="56"/>
    </row>
    <row r="110" spans="1:12" ht="30" x14ac:dyDescent="0.2">
      <c r="A110" s="16" t="s">
        <v>262</v>
      </c>
      <c r="B110" s="42" t="s">
        <v>297</v>
      </c>
      <c r="C110" s="51"/>
      <c r="D110" s="29" t="str">
        <f>IFERROR(VLOOKUP(C110,DATOS!$E$2:$F$205,2,FALSE),"Sin Datos")</f>
        <v>Sin Datos</v>
      </c>
      <c r="E110" s="35"/>
      <c r="F110" s="35"/>
      <c r="G110" s="35"/>
      <c r="H110" s="35"/>
      <c r="I110" s="38"/>
      <c r="J110" s="57"/>
      <c r="K110" s="29" t="str">
        <f>IFERROR(VLOOKUP(J110,DATOS!$J$2:$K$5,2,FALSE),"SIN PARO")</f>
        <v>SIN PARO</v>
      </c>
      <c r="L110" s="54"/>
    </row>
    <row r="111" spans="1:12" ht="30.75" thickBot="1" x14ac:dyDescent="0.25">
      <c r="A111" s="18" t="s">
        <v>262</v>
      </c>
      <c r="B111" s="44" t="s">
        <v>297</v>
      </c>
      <c r="C111" s="53"/>
      <c r="D111" s="31" t="str">
        <f>IFERROR(VLOOKUP(C111,DATOS!$E$2:$F$205,2,FALSE),"Sin Datos")</f>
        <v>Sin Datos</v>
      </c>
      <c r="E111" s="53"/>
      <c r="F111" s="37"/>
      <c r="G111" s="37"/>
      <c r="H111" s="37"/>
      <c r="I111" s="40"/>
      <c r="J111" s="59"/>
      <c r="K111" s="31" t="str">
        <f>IFERROR(VLOOKUP(J111,DATOS!$J$2:$K$5,2,FALSE),"SIN PARO")</f>
        <v>SIN PARO</v>
      </c>
      <c r="L111" s="56"/>
    </row>
    <row r="112" spans="1:12" ht="30" x14ac:dyDescent="0.2">
      <c r="A112" s="16" t="s">
        <v>301</v>
      </c>
      <c r="B112" s="42" t="s">
        <v>297</v>
      </c>
      <c r="C112" s="51"/>
      <c r="D112" s="29" t="str">
        <f>IFERROR(VLOOKUP(C112,DATOS!$E$2:$F$205,2,FALSE),"Sin Datos")</f>
        <v>Sin Datos</v>
      </c>
      <c r="E112" s="35"/>
      <c r="F112" s="35"/>
      <c r="G112" s="35"/>
      <c r="H112" s="35"/>
      <c r="I112" s="38"/>
      <c r="J112" s="57"/>
      <c r="K112" s="29" t="str">
        <f>IFERROR(VLOOKUP(J112,DATOS!$J$2:$K$5,2,FALSE),"SIN PARO")</f>
        <v>SIN PARO</v>
      </c>
      <c r="L112" s="54"/>
    </row>
    <row r="113" spans="1:12" ht="30.75" thickBot="1" x14ac:dyDescent="0.25">
      <c r="A113" s="18" t="s">
        <v>301</v>
      </c>
      <c r="B113" s="44" t="s">
        <v>297</v>
      </c>
      <c r="C113" s="53"/>
      <c r="D113" s="31" t="str">
        <f>IFERROR(VLOOKUP(C113,DATOS!$E$2:$F$205,2,FALSE),"Sin Datos")</f>
        <v>Sin Datos</v>
      </c>
      <c r="E113" s="53"/>
      <c r="F113" s="37"/>
      <c r="G113" s="37"/>
      <c r="H113" s="37"/>
      <c r="I113" s="40"/>
      <c r="J113" s="59"/>
      <c r="K113" s="31" t="str">
        <f>IFERROR(VLOOKUP(J113,DATOS!$J$2:$K$5,2,FALSE),"SIN PARO")</f>
        <v>SIN PARO</v>
      </c>
      <c r="L113" s="56"/>
    </row>
    <row r="114" spans="1:12" ht="15" x14ac:dyDescent="0.2">
      <c r="A114" s="16" t="s">
        <v>31</v>
      </c>
      <c r="B114" s="42" t="s">
        <v>297</v>
      </c>
      <c r="C114" s="51"/>
      <c r="D114" s="29" t="str">
        <f>IFERROR(VLOOKUP(C114,DATOS!$E$2:$F$205,2,FALSE),"Sin Datos")</f>
        <v>Sin Datos</v>
      </c>
      <c r="E114" s="35"/>
      <c r="F114" s="35"/>
      <c r="G114" s="35"/>
      <c r="H114" s="35"/>
      <c r="I114" s="38"/>
      <c r="J114" s="57"/>
      <c r="K114" s="29" t="str">
        <f>IFERROR(VLOOKUP(J114,DATOS!$J$2:$K$5,2,FALSE),"SIN PARO")</f>
        <v>SIN PARO</v>
      </c>
      <c r="L114" s="54"/>
    </row>
    <row r="115" spans="1:12" ht="15.75" thickBot="1" x14ac:dyDescent="0.25">
      <c r="A115" s="18" t="s">
        <v>31</v>
      </c>
      <c r="B115" s="44" t="s">
        <v>297</v>
      </c>
      <c r="C115" s="53"/>
      <c r="D115" s="31" t="str">
        <f>IFERROR(VLOOKUP(C115,DATOS!$E$2:$F$205,2,FALSE),"Sin Datos")</f>
        <v>Sin Datos</v>
      </c>
      <c r="E115" s="53"/>
      <c r="F115" s="37"/>
      <c r="G115" s="37"/>
      <c r="H115" s="37"/>
      <c r="I115" s="40"/>
      <c r="J115" s="59"/>
      <c r="K115" s="31" t="str">
        <f>IFERROR(VLOOKUP(J115,DATOS!$J$2:$K$5,2,FALSE),"SIN PARO")</f>
        <v>SIN PARO</v>
      </c>
      <c r="L115" s="56"/>
    </row>
    <row r="116" spans="1:12" ht="15" x14ac:dyDescent="0.2">
      <c r="A116" s="16" t="s">
        <v>302</v>
      </c>
      <c r="B116" s="42" t="s">
        <v>297</v>
      </c>
      <c r="C116" s="51"/>
      <c r="D116" s="29" t="str">
        <f>IFERROR(VLOOKUP(C116,DATOS!$E$2:$F$205,2,FALSE),"Sin Datos")</f>
        <v>Sin Datos</v>
      </c>
      <c r="E116" s="35"/>
      <c r="F116" s="35"/>
      <c r="G116" s="35"/>
      <c r="H116" s="35"/>
      <c r="I116" s="38"/>
      <c r="J116" s="57"/>
      <c r="K116" s="29" t="str">
        <f>IFERROR(VLOOKUP(J116,DATOS!$J$2:$K$5,2,FALSE),"SIN PARO")</f>
        <v>SIN PARO</v>
      </c>
      <c r="L116" s="54"/>
    </row>
    <row r="117" spans="1:12" ht="15.75" thickBot="1" x14ac:dyDescent="0.25">
      <c r="A117" s="18" t="s">
        <v>302</v>
      </c>
      <c r="B117" s="44" t="s">
        <v>297</v>
      </c>
      <c r="C117" s="53"/>
      <c r="D117" s="31" t="str">
        <f>IFERROR(VLOOKUP(C117,DATOS!$E$2:$F$205,2,FALSE),"Sin Datos")</f>
        <v>Sin Datos</v>
      </c>
      <c r="E117" s="53"/>
      <c r="F117" s="37"/>
      <c r="G117" s="37"/>
      <c r="H117" s="37"/>
      <c r="I117" s="40"/>
      <c r="J117" s="59"/>
      <c r="K117" s="31" t="str">
        <f>IFERROR(VLOOKUP(J117,DATOS!$J$2:$K$5,2,FALSE),"SIN PARO")</f>
        <v>SIN PARO</v>
      </c>
      <c r="L117" s="56"/>
    </row>
    <row r="118" spans="1:12" ht="30.75" thickBot="1" x14ac:dyDescent="0.25">
      <c r="A118" s="70" t="s">
        <v>303</v>
      </c>
      <c r="B118" s="71" t="s">
        <v>297</v>
      </c>
      <c r="C118" s="72"/>
      <c r="D118" s="73" t="str">
        <f>IFERROR(VLOOKUP(C118,DATOS!$E$2:$F$205,2,FALSE),"Sin Datos")</f>
        <v>Sin Datos</v>
      </c>
      <c r="E118" s="72"/>
      <c r="F118" s="74"/>
      <c r="G118" s="74"/>
      <c r="H118" s="74"/>
      <c r="I118" s="75"/>
      <c r="J118" s="76"/>
      <c r="K118" s="73" t="str">
        <f>IFERROR(VLOOKUP(J118,DATOS!$J$2:$K$5,2,FALSE),"SIN PARO")</f>
        <v>SIN PARO</v>
      </c>
      <c r="L118" s="77"/>
    </row>
    <row r="119" spans="1:12" ht="60.75" thickBot="1" x14ac:dyDescent="0.25">
      <c r="A119" s="70" t="s">
        <v>304</v>
      </c>
      <c r="B119" s="71" t="s">
        <v>297</v>
      </c>
      <c r="C119" s="72"/>
      <c r="D119" s="73" t="str">
        <f>IFERROR(VLOOKUP(C119,DATOS!$E$2:$F$205,2,FALSE),"Sin Datos")</f>
        <v>Sin Datos</v>
      </c>
      <c r="E119" s="72"/>
      <c r="F119" s="74"/>
      <c r="G119" s="74"/>
      <c r="H119" s="74"/>
      <c r="I119" s="75"/>
      <c r="J119" s="76"/>
      <c r="K119" s="73" t="str">
        <f>IFERROR(VLOOKUP(J119,DATOS!$J$2:$K$5,2,FALSE),"SIN PARO")</f>
        <v>SIN PARO</v>
      </c>
      <c r="L119" s="77"/>
    </row>
  </sheetData>
  <sheetProtection algorithmName="SHA-512" hashValue="xFxg93I7OH5lltyWzWr4TvH/NDQTawkrSThDY5I8jsAXw4Yw8jhXzqLR4gXmx0Ewma1ujrFv+a7sXnD+3rTPCQ==" saltValue="NmhA3ulE92GOL1T8aFFE4A==" spinCount="100000" sheet="1" objects="1" scenarios="1"/>
  <protectedRanges>
    <protectedRange sqref="L9:L115" name="Rango1"/>
  </protectedRanges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115" xr:uid="{00000000-0002-0000-0100-000000000000}">
      <formula1>1</formula1>
      <formula2>4</formula2>
    </dataValidation>
    <dataValidation type="whole" allowBlank="1" showInputMessage="1" showErrorMessage="1" sqref="F9:H115" xr:uid="{00000000-0002-0000-0100-000001000000}">
      <formula1>0</formula1>
      <formula2>99999</formula2>
    </dataValidation>
    <dataValidation type="whole" allowBlank="1" showInputMessage="1" showErrorMessage="1" sqref="C9:C115" xr:uid="{00000000-0002-0000-0100-000002000000}">
      <formula1>1</formula1>
      <formula2>999</formula2>
    </dataValidation>
    <dataValidation type="whole" allowBlank="1" showInputMessage="1" showErrorMessage="1" errorTitle="Error" error="Solo puede ingresar numeros. Recuerde que si son 2 hora puede poner 120 o +2*60" sqref="I9:I115" xr:uid="{714160B3-E081-4C54-A6A8-C2E217C44B26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1562100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DATOS!$H$2:$H$40</xm:f>
          </x14:formula1>
          <xm:sqref>E9:E19 E58:E119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29"/>
  <sheetViews>
    <sheetView zoomScaleNormal="100" workbookViewId="0">
      <selection activeCell="A2" sqref="A2:P29"/>
    </sheetView>
  </sheetViews>
  <sheetFormatPr baseColWidth="10" defaultColWidth="11.42578125" defaultRowHeight="15" x14ac:dyDescent="0.25"/>
  <cols>
    <col min="1" max="1" width="22" customWidth="1"/>
    <col min="2" max="2" width="22.7109375" customWidth="1"/>
    <col min="3" max="3" width="16.42578125" customWidth="1"/>
    <col min="4" max="4" width="22.5703125" customWidth="1"/>
    <col min="5" max="5" width="21.7109375" customWidth="1"/>
    <col min="6" max="6" width="12.140625" customWidth="1"/>
    <col min="7" max="7" width="8.42578125" bestFit="1" customWidth="1"/>
    <col min="8" max="8" width="25" customWidth="1"/>
    <col min="9" max="9" width="11.7109375" bestFit="1" customWidth="1"/>
    <col min="10" max="10" width="13" bestFit="1" customWidth="1"/>
    <col min="11" max="11" width="11.140625" bestFit="1" customWidth="1"/>
    <col min="12" max="12" width="6.7109375" bestFit="1" customWidth="1"/>
    <col min="13" max="13" width="13.28515625" bestFit="1" customWidth="1"/>
    <col min="14" max="14" width="15" bestFit="1" customWidth="1"/>
    <col min="15" max="15" width="10.5703125" bestFit="1" customWidth="1"/>
    <col min="16" max="16" width="25.7109375" customWidth="1"/>
    <col min="17" max="16384" width="11.42578125" style="78"/>
  </cols>
  <sheetData>
    <row r="1" spans="1:16" x14ac:dyDescent="0.25">
      <c r="A1" s="78" t="s">
        <v>1</v>
      </c>
      <c r="B1" s="78" t="s">
        <v>24</v>
      </c>
      <c r="C1" s="78" t="s">
        <v>25</v>
      </c>
      <c r="D1" s="78" t="s">
        <v>2</v>
      </c>
      <c r="E1" s="78" t="s">
        <v>3</v>
      </c>
      <c r="F1" s="78" t="s">
        <v>4</v>
      </c>
      <c r="G1" s="78" t="s">
        <v>199</v>
      </c>
      <c r="H1" s="78" t="s">
        <v>26</v>
      </c>
      <c r="I1" s="78" t="s">
        <v>5</v>
      </c>
      <c r="J1" s="78" t="s">
        <v>27</v>
      </c>
      <c r="K1" s="78" t="s">
        <v>8</v>
      </c>
      <c r="L1" s="78" t="s">
        <v>7</v>
      </c>
      <c r="M1" s="78" t="s">
        <v>29</v>
      </c>
      <c r="N1" s="78" t="s">
        <v>202</v>
      </c>
      <c r="O1" s="78" t="s">
        <v>28</v>
      </c>
      <c r="P1" s="78" t="s">
        <v>30</v>
      </c>
    </row>
    <row r="2" spans="1:16" x14ac:dyDescent="0.25">
      <c r="A2">
        <v>44428.555047916663</v>
      </c>
      <c r="B2" t="s">
        <v>234</v>
      </c>
      <c r="C2" t="s">
        <v>224</v>
      </c>
      <c r="D2" t="s">
        <v>21</v>
      </c>
      <c r="E2" t="s">
        <v>10</v>
      </c>
      <c r="F2" t="s">
        <v>236</v>
      </c>
      <c r="G2">
        <v>999</v>
      </c>
      <c r="H2" t="s">
        <v>223</v>
      </c>
      <c r="O2" t="s">
        <v>277</v>
      </c>
      <c r="P2" t="s">
        <v>316</v>
      </c>
    </row>
    <row r="3" spans="1:16" x14ac:dyDescent="0.25">
      <c r="A3">
        <v>44428.555047916663</v>
      </c>
      <c r="B3" t="s">
        <v>234</v>
      </c>
      <c r="C3" t="s">
        <v>224</v>
      </c>
      <c r="D3" t="s">
        <v>21</v>
      </c>
      <c r="E3" t="s">
        <v>260</v>
      </c>
      <c r="F3" t="s">
        <v>260</v>
      </c>
      <c r="G3">
        <v>184</v>
      </c>
      <c r="H3" t="s">
        <v>313</v>
      </c>
      <c r="I3" t="s">
        <v>231</v>
      </c>
      <c r="J3">
        <v>800</v>
      </c>
      <c r="O3" t="s">
        <v>277</v>
      </c>
    </row>
    <row r="4" spans="1:16" x14ac:dyDescent="0.25">
      <c r="A4">
        <v>44428.555047916663</v>
      </c>
      <c r="B4" t="s">
        <v>234</v>
      </c>
      <c r="C4" t="s">
        <v>224</v>
      </c>
      <c r="D4" t="s">
        <v>21</v>
      </c>
      <c r="E4" t="s">
        <v>252</v>
      </c>
      <c r="F4" t="s">
        <v>257</v>
      </c>
      <c r="G4">
        <v>113</v>
      </c>
      <c r="H4" t="s">
        <v>147</v>
      </c>
      <c r="I4" t="s">
        <v>231</v>
      </c>
      <c r="O4" t="s">
        <v>277</v>
      </c>
    </row>
    <row r="5" spans="1:16" x14ac:dyDescent="0.25">
      <c r="A5">
        <v>44428.555047916663</v>
      </c>
      <c r="B5" t="s">
        <v>234</v>
      </c>
      <c r="C5" t="s">
        <v>224</v>
      </c>
      <c r="D5" t="s">
        <v>21</v>
      </c>
      <c r="E5" t="s">
        <v>252</v>
      </c>
      <c r="F5" t="s">
        <v>257</v>
      </c>
      <c r="G5">
        <v>113</v>
      </c>
      <c r="H5" t="s">
        <v>147</v>
      </c>
      <c r="I5" t="s">
        <v>232</v>
      </c>
      <c r="O5" t="s">
        <v>277</v>
      </c>
    </row>
    <row r="6" spans="1:16" x14ac:dyDescent="0.25">
      <c r="A6">
        <v>44428.555047916663</v>
      </c>
      <c r="B6" t="s">
        <v>234</v>
      </c>
      <c r="C6" t="s">
        <v>224</v>
      </c>
      <c r="D6" t="s">
        <v>21</v>
      </c>
      <c r="E6" t="s">
        <v>203</v>
      </c>
      <c r="F6" t="s">
        <v>11</v>
      </c>
      <c r="G6">
        <v>91</v>
      </c>
      <c r="H6" t="s">
        <v>125</v>
      </c>
      <c r="O6" t="s">
        <v>277</v>
      </c>
    </row>
    <row r="7" spans="1:16" x14ac:dyDescent="0.25">
      <c r="A7">
        <v>44428.555047916663</v>
      </c>
      <c r="B7" t="s">
        <v>234</v>
      </c>
      <c r="C7" t="s">
        <v>224</v>
      </c>
      <c r="D7" t="s">
        <v>21</v>
      </c>
      <c r="E7" t="s">
        <v>203</v>
      </c>
      <c r="F7" t="s">
        <v>12</v>
      </c>
      <c r="G7">
        <v>81</v>
      </c>
      <c r="H7" t="s">
        <v>115</v>
      </c>
      <c r="I7" t="s">
        <v>232</v>
      </c>
      <c r="O7" t="s">
        <v>277</v>
      </c>
    </row>
    <row r="8" spans="1:16" x14ac:dyDescent="0.25">
      <c r="A8">
        <v>44428.555047916663</v>
      </c>
      <c r="B8" t="s">
        <v>234</v>
      </c>
      <c r="C8" t="s">
        <v>224</v>
      </c>
      <c r="D8" t="s">
        <v>21</v>
      </c>
      <c r="E8" t="s">
        <v>203</v>
      </c>
      <c r="F8" t="s">
        <v>225</v>
      </c>
      <c r="G8">
        <v>37</v>
      </c>
      <c r="H8" t="s">
        <v>71</v>
      </c>
      <c r="I8">
        <v>1006110</v>
      </c>
      <c r="O8" t="s">
        <v>277</v>
      </c>
    </row>
    <row r="9" spans="1:16" x14ac:dyDescent="0.25">
      <c r="A9">
        <v>44428.555047916663</v>
      </c>
      <c r="B9" t="s">
        <v>234</v>
      </c>
      <c r="C9" t="s">
        <v>224</v>
      </c>
      <c r="D9" t="s">
        <v>21</v>
      </c>
      <c r="E9" t="s">
        <v>238</v>
      </c>
      <c r="F9" t="s">
        <v>238</v>
      </c>
      <c r="G9">
        <v>184</v>
      </c>
      <c r="H9" t="s">
        <v>313</v>
      </c>
      <c r="I9" t="s">
        <v>228</v>
      </c>
      <c r="O9" t="s">
        <v>277</v>
      </c>
    </row>
    <row r="10" spans="1:16" x14ac:dyDescent="0.25">
      <c r="A10">
        <v>44428.555047916663</v>
      </c>
      <c r="B10" t="s">
        <v>234</v>
      </c>
      <c r="C10" t="s">
        <v>224</v>
      </c>
      <c r="D10" t="s">
        <v>21</v>
      </c>
      <c r="E10" t="s">
        <v>238</v>
      </c>
      <c r="F10" t="s">
        <v>238</v>
      </c>
      <c r="G10">
        <v>167</v>
      </c>
      <c r="H10" t="s">
        <v>215</v>
      </c>
      <c r="I10" t="s">
        <v>232</v>
      </c>
      <c r="O10" t="s">
        <v>277</v>
      </c>
    </row>
    <row r="11" spans="1:16" x14ac:dyDescent="0.25">
      <c r="A11">
        <v>44428.555047916663</v>
      </c>
      <c r="B11" t="s">
        <v>234</v>
      </c>
      <c r="C11" t="s">
        <v>224</v>
      </c>
      <c r="D11" t="s">
        <v>21</v>
      </c>
      <c r="E11" t="s">
        <v>238</v>
      </c>
      <c r="F11" t="s">
        <v>238</v>
      </c>
      <c r="G11">
        <v>184</v>
      </c>
      <c r="H11" t="s">
        <v>313</v>
      </c>
      <c r="I11">
        <v>1006110</v>
      </c>
      <c r="O11" t="s">
        <v>277</v>
      </c>
    </row>
    <row r="12" spans="1:16" x14ac:dyDescent="0.25">
      <c r="A12">
        <v>44428.555047916663</v>
      </c>
      <c r="B12" t="s">
        <v>234</v>
      </c>
      <c r="C12" t="s">
        <v>224</v>
      </c>
      <c r="D12" t="s">
        <v>21</v>
      </c>
      <c r="E12" t="s">
        <v>239</v>
      </c>
      <c r="F12" t="s">
        <v>240</v>
      </c>
      <c r="G12">
        <v>152</v>
      </c>
      <c r="H12" t="s">
        <v>186</v>
      </c>
      <c r="I12" t="s">
        <v>227</v>
      </c>
      <c r="O12" t="s">
        <v>277</v>
      </c>
    </row>
    <row r="13" spans="1:16" x14ac:dyDescent="0.25">
      <c r="A13">
        <v>44428.555047916663</v>
      </c>
      <c r="B13" t="s">
        <v>234</v>
      </c>
      <c r="C13" t="s">
        <v>224</v>
      </c>
      <c r="D13" t="s">
        <v>21</v>
      </c>
      <c r="E13" t="s">
        <v>239</v>
      </c>
      <c r="F13" t="s">
        <v>240</v>
      </c>
      <c r="G13">
        <v>161</v>
      </c>
      <c r="H13" t="s">
        <v>209</v>
      </c>
      <c r="I13" t="s">
        <v>227</v>
      </c>
      <c r="O13" t="s">
        <v>277</v>
      </c>
    </row>
    <row r="14" spans="1:16" x14ac:dyDescent="0.25">
      <c r="A14">
        <v>44428.555047916663</v>
      </c>
      <c r="B14" t="s">
        <v>234</v>
      </c>
      <c r="C14" t="s">
        <v>224</v>
      </c>
      <c r="D14" t="s">
        <v>21</v>
      </c>
      <c r="E14" t="s">
        <v>239</v>
      </c>
      <c r="F14" t="s">
        <v>243</v>
      </c>
      <c r="G14">
        <v>56</v>
      </c>
      <c r="H14" t="s">
        <v>90</v>
      </c>
      <c r="I14" t="s">
        <v>232</v>
      </c>
      <c r="O14" t="s">
        <v>277</v>
      </c>
    </row>
    <row r="15" spans="1:16" x14ac:dyDescent="0.25">
      <c r="A15">
        <v>44428.555047916663</v>
      </c>
      <c r="B15" t="s">
        <v>234</v>
      </c>
      <c r="C15" t="s">
        <v>224</v>
      </c>
      <c r="D15" t="s">
        <v>21</v>
      </c>
      <c r="E15" t="s">
        <v>239</v>
      </c>
      <c r="F15" t="s">
        <v>242</v>
      </c>
      <c r="G15">
        <v>50</v>
      </c>
      <c r="H15" t="s">
        <v>84</v>
      </c>
      <c r="I15" t="s">
        <v>232</v>
      </c>
      <c r="O15" t="s">
        <v>277</v>
      </c>
    </row>
    <row r="16" spans="1:16" x14ac:dyDescent="0.25">
      <c r="A16">
        <v>44428.555047916663</v>
      </c>
      <c r="B16" t="s">
        <v>234</v>
      </c>
      <c r="C16" t="s">
        <v>224</v>
      </c>
      <c r="D16" t="s">
        <v>21</v>
      </c>
      <c r="E16" t="s">
        <v>239</v>
      </c>
      <c r="F16" t="s">
        <v>242</v>
      </c>
      <c r="G16">
        <v>177</v>
      </c>
      <c r="H16" t="s">
        <v>289</v>
      </c>
      <c r="I16" t="s">
        <v>232</v>
      </c>
      <c r="O16" t="s">
        <v>277</v>
      </c>
    </row>
    <row r="17" spans="1:16" x14ac:dyDescent="0.25">
      <c r="A17">
        <v>44428.555047916663</v>
      </c>
      <c r="B17" t="s">
        <v>234</v>
      </c>
      <c r="C17" t="s">
        <v>224</v>
      </c>
      <c r="D17" t="s">
        <v>21</v>
      </c>
      <c r="E17" t="s">
        <v>239</v>
      </c>
      <c r="F17" t="s">
        <v>242</v>
      </c>
      <c r="G17">
        <v>45</v>
      </c>
      <c r="H17" t="s">
        <v>79</v>
      </c>
      <c r="I17" t="s">
        <v>232</v>
      </c>
      <c r="O17" t="s">
        <v>277</v>
      </c>
    </row>
    <row r="18" spans="1:16" x14ac:dyDescent="0.25">
      <c r="A18">
        <v>44428.555047916663</v>
      </c>
      <c r="B18" t="s">
        <v>234</v>
      </c>
      <c r="C18" t="s">
        <v>224</v>
      </c>
      <c r="D18" t="s">
        <v>21</v>
      </c>
      <c r="E18" t="s">
        <v>239</v>
      </c>
      <c r="F18" t="s">
        <v>244</v>
      </c>
      <c r="G18">
        <v>29</v>
      </c>
      <c r="H18" t="s">
        <v>63</v>
      </c>
      <c r="I18">
        <v>1006110</v>
      </c>
      <c r="O18" t="s">
        <v>277</v>
      </c>
    </row>
    <row r="19" spans="1:16" x14ac:dyDescent="0.25">
      <c r="A19">
        <v>44428.555047916663</v>
      </c>
      <c r="B19" t="s">
        <v>234</v>
      </c>
      <c r="C19" t="s">
        <v>224</v>
      </c>
      <c r="D19" t="s">
        <v>21</v>
      </c>
      <c r="E19" t="s">
        <v>239</v>
      </c>
      <c r="F19" t="s">
        <v>245</v>
      </c>
      <c r="G19">
        <v>157</v>
      </c>
      <c r="H19" t="s">
        <v>191</v>
      </c>
      <c r="O19" t="s">
        <v>277</v>
      </c>
    </row>
    <row r="20" spans="1:16" x14ac:dyDescent="0.25">
      <c r="A20">
        <v>44428.555047916663</v>
      </c>
      <c r="B20" t="s">
        <v>234</v>
      </c>
      <c r="C20" t="s">
        <v>224</v>
      </c>
      <c r="D20" t="s">
        <v>21</v>
      </c>
      <c r="E20" t="s">
        <v>239</v>
      </c>
      <c r="F20" t="s">
        <v>245</v>
      </c>
      <c r="G20">
        <v>149</v>
      </c>
      <c r="H20" t="s">
        <v>183</v>
      </c>
      <c r="O20" t="s">
        <v>277</v>
      </c>
    </row>
    <row r="21" spans="1:16" x14ac:dyDescent="0.25">
      <c r="A21">
        <v>44428.555047916663</v>
      </c>
      <c r="B21" t="s">
        <v>234</v>
      </c>
      <c r="C21" t="s">
        <v>224</v>
      </c>
      <c r="D21" t="s">
        <v>21</v>
      </c>
      <c r="E21" t="s">
        <v>248</v>
      </c>
      <c r="F21" t="s">
        <v>290</v>
      </c>
      <c r="G21">
        <v>18</v>
      </c>
      <c r="H21" t="s">
        <v>52</v>
      </c>
      <c r="I21" t="s">
        <v>272</v>
      </c>
      <c r="J21">
        <v>23902</v>
      </c>
      <c r="O21" t="s">
        <v>277</v>
      </c>
    </row>
    <row r="22" spans="1:16" x14ac:dyDescent="0.25">
      <c r="A22">
        <v>44428.555047916663</v>
      </c>
      <c r="B22" t="s">
        <v>234</v>
      </c>
      <c r="C22" t="s">
        <v>224</v>
      </c>
      <c r="D22" t="s">
        <v>21</v>
      </c>
      <c r="E22" t="s">
        <v>248</v>
      </c>
      <c r="F22" t="s">
        <v>291</v>
      </c>
      <c r="G22">
        <v>160</v>
      </c>
      <c r="H22" t="s">
        <v>194</v>
      </c>
      <c r="I22" t="s">
        <v>273</v>
      </c>
      <c r="J22">
        <v>4</v>
      </c>
      <c r="O22" t="s">
        <v>277</v>
      </c>
      <c r="P22" t="s">
        <v>306</v>
      </c>
    </row>
    <row r="23" spans="1:16" x14ac:dyDescent="0.25">
      <c r="A23">
        <v>44428.555047916663</v>
      </c>
      <c r="B23" t="s">
        <v>234</v>
      </c>
      <c r="C23" t="s">
        <v>224</v>
      </c>
      <c r="D23" t="s">
        <v>21</v>
      </c>
      <c r="E23" t="s">
        <v>249</v>
      </c>
      <c r="F23" t="s">
        <v>255</v>
      </c>
      <c r="G23">
        <v>140</v>
      </c>
      <c r="H23" t="s">
        <v>174</v>
      </c>
      <c r="I23" t="s">
        <v>227</v>
      </c>
      <c r="J23">
        <v>230</v>
      </c>
      <c r="O23" t="s">
        <v>277</v>
      </c>
    </row>
    <row r="24" spans="1:16" x14ac:dyDescent="0.25">
      <c r="A24">
        <v>44428.555047916663</v>
      </c>
      <c r="B24" t="s">
        <v>234</v>
      </c>
      <c r="C24" t="s">
        <v>224</v>
      </c>
      <c r="D24" t="s">
        <v>21</v>
      </c>
      <c r="E24" t="s">
        <v>249</v>
      </c>
      <c r="F24" t="s">
        <v>255</v>
      </c>
      <c r="G24">
        <v>146</v>
      </c>
      <c r="H24" t="s">
        <v>180</v>
      </c>
      <c r="I24" t="s">
        <v>228</v>
      </c>
      <c r="J24">
        <v>60</v>
      </c>
      <c r="O24" t="s">
        <v>277</v>
      </c>
    </row>
    <row r="25" spans="1:16" x14ac:dyDescent="0.25">
      <c r="A25">
        <v>44428.555047916663</v>
      </c>
      <c r="B25" t="s">
        <v>234</v>
      </c>
      <c r="C25" t="s">
        <v>224</v>
      </c>
      <c r="D25" t="s">
        <v>21</v>
      </c>
      <c r="E25" t="s">
        <v>253</v>
      </c>
      <c r="F25" t="s">
        <v>253</v>
      </c>
      <c r="G25">
        <v>146</v>
      </c>
      <c r="H25" t="s">
        <v>180</v>
      </c>
      <c r="I25" t="s">
        <v>227</v>
      </c>
      <c r="J25">
        <v>180</v>
      </c>
      <c r="O25" t="s">
        <v>277</v>
      </c>
    </row>
    <row r="26" spans="1:16" x14ac:dyDescent="0.25">
      <c r="A26">
        <v>44428.555047916663</v>
      </c>
      <c r="B26" t="s">
        <v>234</v>
      </c>
      <c r="C26" t="s">
        <v>224</v>
      </c>
      <c r="D26" t="s">
        <v>21</v>
      </c>
      <c r="E26" t="s">
        <v>32</v>
      </c>
      <c r="F26" t="s">
        <v>32</v>
      </c>
      <c r="G26">
        <v>140</v>
      </c>
      <c r="H26" t="s">
        <v>174</v>
      </c>
      <c r="I26" t="s">
        <v>227</v>
      </c>
      <c r="J26">
        <v>185</v>
      </c>
      <c r="O26" t="s">
        <v>277</v>
      </c>
    </row>
    <row r="27" spans="1:16" x14ac:dyDescent="0.25">
      <c r="A27">
        <v>44428.555047916663</v>
      </c>
      <c r="B27" t="s">
        <v>234</v>
      </c>
      <c r="C27" t="s">
        <v>224</v>
      </c>
      <c r="D27" t="s">
        <v>21</v>
      </c>
      <c r="E27" t="s">
        <v>254</v>
      </c>
      <c r="F27" t="s">
        <v>254</v>
      </c>
      <c r="G27">
        <v>136</v>
      </c>
      <c r="H27" t="s">
        <v>170</v>
      </c>
      <c r="I27" t="s">
        <v>227</v>
      </c>
      <c r="J27">
        <v>125</v>
      </c>
      <c r="O27" t="s">
        <v>277</v>
      </c>
      <c r="P27" t="s">
        <v>305</v>
      </c>
    </row>
    <row r="28" spans="1:16" x14ac:dyDescent="0.25">
      <c r="A28">
        <v>44428.555047916663</v>
      </c>
      <c r="B28" t="s">
        <v>234</v>
      </c>
      <c r="C28" t="s">
        <v>224</v>
      </c>
      <c r="D28" t="s">
        <v>21</v>
      </c>
      <c r="E28" t="s">
        <v>254</v>
      </c>
      <c r="F28" t="s">
        <v>254</v>
      </c>
      <c r="G28">
        <v>136</v>
      </c>
      <c r="H28" t="s">
        <v>170</v>
      </c>
      <c r="I28" t="s">
        <v>228</v>
      </c>
      <c r="J28">
        <v>300</v>
      </c>
      <c r="O28" t="s">
        <v>277</v>
      </c>
    </row>
    <row r="29" spans="1:16" x14ac:dyDescent="0.25">
      <c r="A29">
        <v>44428.555047916663</v>
      </c>
      <c r="B29" t="s">
        <v>234</v>
      </c>
      <c r="C29" t="s">
        <v>224</v>
      </c>
      <c r="D29" t="s">
        <v>21</v>
      </c>
      <c r="E29" t="s">
        <v>304</v>
      </c>
      <c r="F29" t="s">
        <v>297</v>
      </c>
      <c r="G29">
        <v>999</v>
      </c>
      <c r="H29" t="s">
        <v>223</v>
      </c>
      <c r="O29" t="s">
        <v>277</v>
      </c>
      <c r="P29" t="s">
        <v>316</v>
      </c>
    </row>
  </sheetData>
  <autoFilter ref="A1:P1" xr:uid="{00000000-0001-0000-02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2021-08-20T18:23:12Z</dcterms:modified>
</cp:coreProperties>
</file>