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4DADA9BA-7983-4199-8201-B19D5CCBCDA4}" xr6:coauthVersionLast="47" xr6:coauthVersionMax="47" xr10:uidLastSave="{00000000-0000-0000-0000-000000000000}"/>
  <bookViews>
    <workbookView xWindow="-120" yWindow="-120" windowWidth="21840" windowHeight="131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2" i="3" l="1"/>
  <c r="D42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K76" i="3"/>
  <c r="K77" i="3"/>
  <c r="K78" i="3"/>
  <c r="K91" i="3"/>
  <c r="K92" i="3"/>
  <c r="K93" i="3"/>
  <c r="K94" i="3"/>
  <c r="K14" i="3"/>
  <c r="K15" i="3"/>
  <c r="K16" i="3"/>
  <c r="K17" i="3"/>
  <c r="K21" i="3"/>
  <c r="K20" i="3"/>
  <c r="K19" i="3"/>
  <c r="K18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74" i="3" l="1"/>
  <c r="K73" i="3"/>
  <c r="K69" i="3"/>
  <c r="K68" i="3"/>
  <c r="B6" i="3"/>
  <c r="K67" i="3" l="1"/>
  <c r="K82" i="3" l="1"/>
  <c r="K70" i="3"/>
  <c r="K23" i="3"/>
  <c r="K36" i="3"/>
  <c r="K38" i="3"/>
  <c r="K34" i="3"/>
  <c r="K35" i="3"/>
  <c r="K31" i="3"/>
  <c r="K30" i="3"/>
  <c r="K48" i="3"/>
  <c r="K47" i="3"/>
  <c r="K46" i="3"/>
  <c r="K45" i="3"/>
  <c r="K44" i="3"/>
  <c r="K64" i="3"/>
  <c r="K65" i="3"/>
  <c r="K66" i="3"/>
  <c r="K71" i="3"/>
  <c r="K72" i="3"/>
  <c r="K75" i="3"/>
  <c r="K79" i="3"/>
  <c r="K80" i="3"/>
  <c r="K81" i="3"/>
  <c r="K83" i="3"/>
  <c r="K84" i="3"/>
  <c r="K85" i="3"/>
  <c r="K86" i="3"/>
  <c r="K87" i="3"/>
  <c r="K88" i="3"/>
  <c r="K89" i="3"/>
  <c r="K90" i="3"/>
  <c r="K32" i="3"/>
  <c r="K33" i="3"/>
  <c r="K37" i="3"/>
  <c r="K39" i="3"/>
  <c r="K40" i="3"/>
  <c r="K41" i="3"/>
  <c r="K43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27" i="3" l="1"/>
  <c r="K26" i="3"/>
  <c r="K9" i="3" l="1"/>
  <c r="K10" i="3" l="1"/>
  <c r="K11" i="3"/>
  <c r="K12" i="3"/>
  <c r="K13" i="3"/>
  <c r="K22" i="3"/>
  <c r="K24" i="3"/>
  <c r="K25" i="3"/>
  <c r="K28" i="3"/>
  <c r="K29" i="3"/>
</calcChain>
</file>

<file path=xl/sharedStrings.xml><?xml version="1.0" encoding="utf-8"?>
<sst xmlns="http://schemas.openxmlformats.org/spreadsheetml/2006/main" count="1164" uniqueCount="288">
  <si>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</si>
  <si>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</si>
  <si>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</si>
  <si>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</si>
  <si>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</si>
  <si>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</si>
  <si>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</si>
  <si>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</si>
  <si>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</si>
  <si>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</si>
  <si>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</si>
  <si>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</si>
  <si>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</si>
  <si>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</si>
  <si>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</si>
  <si>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</si>
  <si>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</si>
  <si>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</si>
  <si>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</si>
  <si>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</si>
  <si>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</si>
  <si>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</si>
  <si>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</si>
  <si>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</si>
  <si>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</si>
  <si>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</si>
  <si>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</si>
  <si>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</si>
  <si>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</si>
  <si>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</si>
  <si>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</si>
  <si>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</si>
  <si>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</si>
  <si>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</si>
  <si>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</si>
  <si>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</si>
  <si>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</si>
  <si>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</si>
  <si>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</si>
  <si>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</si>
  <si>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</si>
  <si>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</si>
  <si>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</si>
  <si>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</si>
  <si>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</si>
  <si>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</si>
  <si>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</si>
  <si>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</si>
  <si>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</si>
  <si>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</si>
  <si>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</si>
  <si>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</si>
  <si>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</si>
  <si>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</si>
  <si>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</si>
  <si>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</si>
  <si>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</si>
  <si>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</si>
  <si>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</si>
  <si>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</si>
  <si>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</si>
  <si>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</si>
  <si>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</si>
  <si>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</si>
  <si>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</si>
  <si>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</si>
  <si>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</si>
  <si>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</si>
  <si>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</si>
  <si>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</si>
  <si>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</si>
  <si>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</si>
  <si>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</si>
  <si>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</si>
  <si>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</si>
  <si>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</si>
  <si>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</si>
  <si>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</si>
  <si>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</si>
  <si>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</si>
  <si>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</si>
  <si>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</si>
  <si>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</si>
  <si>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</si>
  <si>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</si>
  <si>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</si>
  <si>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</si>
  <si>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</si>
  <si>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</si>
  <si>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</si>
  <si>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</si>
  <si>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</si>
  <si>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</si>
  <si>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</si>
  <si>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</si>
  <si>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</si>
  <si>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</si>
  <si>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</si>
  <si>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</si>
  <si>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</si>
  <si>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</si>
  <si>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</si>
  <si>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</si>
  <si>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</si>
  <si>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</si>
  <si>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</si>
  <si>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</si>
  <si>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</si>
  <si>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</si>
  <si>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</si>
  <si>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</si>
  <si>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</si>
  <si>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</si>
  <si>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</si>
  <si>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</si>
  <si>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</si>
  <si>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</si>
  <si>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</si>
  <si>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</si>
  <si>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</si>
  <si>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</si>
  <si>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</si>
  <si>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</si>
  <si>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</si>
  <si>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</si>
  <si>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</si>
  <si>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</si>
  <si>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</si>
  <si>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</si>
  <si>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</si>
  <si>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</si>
  <si>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</si>
  <si>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</si>
  <si>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</si>
  <si>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</si>
  <si>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</si>
  <si>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</si>
  <si>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</si>
  <si>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</si>
  <si>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</si>
  <si>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</si>
  <si>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</si>
  <si>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</si>
  <si>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</si>
  <si>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</si>
  <si>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</si>
  <si>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</si>
  <si>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</si>
  <si>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</si>
  <si>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</si>
  <si>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</si>
  <si>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</si>
  <si>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</si>
  <si>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</si>
  <si>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</si>
  <si>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</si>
  <si>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</si>
  <si>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</si>
  <si>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</si>
  <si>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</si>
  <si>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</si>
  <si>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</si>
  <si>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</si>
  <si>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</si>
  <si>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</si>
  <si>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</si>
  <si>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</si>
  <si>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</si>
  <si>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</si>
  <si>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</si>
  <si>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</si>
  <si>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</si>
  <si>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</si>
  <si>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</si>
  <si>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</si>
  <si>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</si>
  <si>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</si>
  <si>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</si>
  <si>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</si>
  <si>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</si>
  <si>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</si>
  <si>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</si>
  <si>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</si>
  <si>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</si>
  <si>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</si>
  <si>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</si>
  <si>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</si>
  <si>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</si>
  <si>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</si>
  <si>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</si>
  <si>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</si>
  <si>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</si>
  <si>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</si>
  <si>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</si>
  <si>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</si>
  <si>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</si>
  <si>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</si>
  <si>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</si>
  <si>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</si>
  <si>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</si>
  <si>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</si>
  <si>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</si>
  <si>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</si>
  <si>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</si>
  <si>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</si>
  <si>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</si>
  <si>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</si>
  <si>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</si>
  <si>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</si>
  <si>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</si>
  <si>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</si>
  <si>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</si>
  <si>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</si>
  <si>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</si>
  <si>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</si>
  <si>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</si>
  <si>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</si>
  <si>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</si>
  <si>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</si>
  <si>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</si>
  <si>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</si>
  <si>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</si>
  <si>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</si>
  <si>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</si>
  <si>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</si>
  <si>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</si>
  <si>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</si>
  <si>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</si>
  <si>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</si>
  <si>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</si>
  <si>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</si>
  <si>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</si>
  <si>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</si>
  <si>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</si>
  <si>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</si>
  <si>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</si>
  <si>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</si>
  <si>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</si>
  <si>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</si>
  <si>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</si>
  <si>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</si>
  <si>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</si>
  <si>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</si>
  <si>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</si>
  <si>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</si>
  <si>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</si>
  <si>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</si>
  <si>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</si>
  <si>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</si>
  <si>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</si>
  <si>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</si>
  <si>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</si>
  <si>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</si>
  <si>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</si>
  <si>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</si>
  <si>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</si>
  <si>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</si>
  <si>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</si>
  <si>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</si>
  <si>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</si>
  <si>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</si>
  <si>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</si>
  <si>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CAPILAR</t>
  </si>
  <si>
    <t>EMBOBINADO</t>
  </si>
  <si>
    <t>CORTE TUBO CAPILAR</t>
  </si>
  <si>
    <t>DOBLADO DE TUBO DE COBRE</t>
  </si>
  <si>
    <t>SOLDADURA APENDICE</t>
  </si>
  <si>
    <t>PRUEBA DE FUGAS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</si>
  <si>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</si>
  <si>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</si>
  <si>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</si>
  <si>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</si>
  <si>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</si>
  <si>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</si>
  <si>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</si>
  <si>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</si>
  <si>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</si>
  <si>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</si>
  <si>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</si>
  <si>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</si>
  <si>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</si>
  <si>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</si>
  <si>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3 MP</t>
  </si>
  <si>
    <t>LAMINADORA HASTA LAS 9:30</t>
  </si>
  <si>
    <t>SE TRABAJA CON EL TROQUEL DESDE LAS 9:40 SE TRABAJA CON UN SOLO DISPOSITIVO EL OTRO ESTA EN MANTENIMIENTO EN SOLDADO</t>
  </si>
  <si>
    <t>SE INICIA 11  AM ESTUVO PARADA DESDE LAS 4 AM</t>
  </si>
  <si>
    <t>SIN PARO</t>
  </si>
  <si>
    <t>Sin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</si>
</sst>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90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5" fontId="7" fillId="3" borderId="19" xfId="0" applyNumberFormat="1" applyFont="1" applyFill="1" applyBorder="1" applyAlignment="1" applyProtection="1">
      <alignment vertical="center"/>
      <protection locked="0"/>
    </xf>
    <xf numFmtId="165" fontId="7" fillId="3" borderId="20" xfId="0" applyNumberFormat="1" applyFont="1" applyFill="1" applyBorder="1" applyAlignment="1" applyProtection="1">
      <alignment vertical="center"/>
      <protection locked="0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166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5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5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0" fillId="4" borderId="7" xfId="0" applyNumberFormat="1" applyFill="1" applyBorder="1" applyAlignment="1" applyProtection="1">
      <alignment horizontal="center"/>
      <protection locked="0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topLeftCell="A93" workbookViewId="0">
      <selection activeCell="E117" sqref="E117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2" t="s">
        <v>15</v>
      </c>
      <c r="C1" s="22" t="s">
        <v>16</v>
      </c>
      <c r="E1" s="24" t="s">
        <v>205</v>
      </c>
      <c r="F1" s="25" t="s">
        <v>206</v>
      </c>
      <c r="G1" s="11"/>
      <c r="H1" s="26" t="s">
        <v>33</v>
      </c>
      <c r="J1" s="81" t="s">
        <v>34</v>
      </c>
      <c r="K1" s="81"/>
    </row>
    <row r="2" spans="1:11" x14ac:dyDescent="0.25">
      <c r="A2" s="21" t="s">
        <v>234</v>
      </c>
      <c r="C2" s="21" t="s">
        <v>18</v>
      </c>
      <c r="E2" s="23">
        <v>999</v>
      </c>
      <c r="F2" s="21" t="s">
        <v>223</v>
      </c>
      <c r="H2" s="44">
        <v>6530334</v>
      </c>
      <c r="I2" t="s">
        <v>198</v>
      </c>
      <c r="J2" s="23">
        <v>1</v>
      </c>
      <c r="K2" s="21" t="s">
        <v>195</v>
      </c>
    </row>
    <row r="3" spans="1:11" x14ac:dyDescent="0.25">
      <c r="A3" s="21" t="s">
        <v>17</v>
      </c>
      <c r="C3" s="21" t="s">
        <v>19</v>
      </c>
      <c r="E3" s="23">
        <v>1</v>
      </c>
      <c r="F3" s="21" t="s">
        <v>35</v>
      </c>
      <c r="H3" s="44" t="s">
        <v>226</v>
      </c>
      <c r="J3" s="23">
        <v>2</v>
      </c>
      <c r="K3" s="21" t="s">
        <v>207</v>
      </c>
    </row>
    <row r="4" spans="1:11" x14ac:dyDescent="0.25">
      <c r="A4" s="21" t="s">
        <v>204</v>
      </c>
      <c r="C4" s="21" t="s">
        <v>21</v>
      </c>
      <c r="E4" s="23">
        <v>2</v>
      </c>
      <c r="F4" s="21" t="s">
        <v>36</v>
      </c>
      <c r="H4" s="44" t="s">
        <v>227</v>
      </c>
      <c r="J4" s="23">
        <v>3</v>
      </c>
      <c r="K4" s="21" t="s">
        <v>208</v>
      </c>
    </row>
    <row r="5" spans="1:11" x14ac:dyDescent="0.25">
      <c r="A5" s="49" t="s">
        <v>235</v>
      </c>
      <c r="C5" s="21" t="s">
        <v>20</v>
      </c>
      <c r="E5" s="23">
        <v>3</v>
      </c>
      <c r="F5" s="21" t="s">
        <v>37</v>
      </c>
      <c r="H5" s="44" t="s">
        <v>228</v>
      </c>
      <c r="J5" s="23">
        <v>4</v>
      </c>
      <c r="K5" s="21" t="s">
        <v>196</v>
      </c>
    </row>
    <row r="6" spans="1:11" x14ac:dyDescent="0.25">
      <c r="A6" s="49" t="s">
        <v>259</v>
      </c>
      <c r="C6" s="21" t="s">
        <v>22</v>
      </c>
      <c r="E6" s="23">
        <v>4</v>
      </c>
      <c r="F6" s="21" t="s">
        <v>38</v>
      </c>
      <c r="H6" s="44" t="s">
        <v>229</v>
      </c>
    </row>
    <row r="7" spans="1:11" x14ac:dyDescent="0.25">
      <c r="C7" s="21" t="s">
        <v>23</v>
      </c>
      <c r="E7" s="23">
        <v>5</v>
      </c>
      <c r="F7" s="21" t="s">
        <v>39</v>
      </c>
      <c r="H7" s="44" t="s">
        <v>230</v>
      </c>
    </row>
    <row r="8" spans="1:11" x14ac:dyDescent="0.25">
      <c r="E8" s="23">
        <v>6</v>
      </c>
      <c r="F8" s="21" t="s">
        <v>40</v>
      </c>
      <c r="H8" s="44" t="s">
        <v>231</v>
      </c>
    </row>
    <row r="9" spans="1:11" x14ac:dyDescent="0.25">
      <c r="E9" s="23">
        <v>7</v>
      </c>
      <c r="F9" s="21" t="s">
        <v>41</v>
      </c>
      <c r="H9" s="44" t="s">
        <v>232</v>
      </c>
    </row>
    <row r="10" spans="1:11" x14ac:dyDescent="0.25">
      <c r="E10" s="23">
        <v>8</v>
      </c>
      <c r="F10" s="21" t="s">
        <v>42</v>
      </c>
      <c r="H10" s="44" t="s">
        <v>233</v>
      </c>
    </row>
    <row r="11" spans="1:11" x14ac:dyDescent="0.25">
      <c r="E11" s="23">
        <v>9</v>
      </c>
      <c r="F11" s="21" t="s">
        <v>43</v>
      </c>
      <c r="H11" s="44">
        <v>6518223</v>
      </c>
    </row>
    <row r="12" spans="1:11" x14ac:dyDescent="0.25">
      <c r="E12" s="23">
        <v>10</v>
      </c>
      <c r="F12" s="21" t="s">
        <v>44</v>
      </c>
      <c r="H12" s="44">
        <v>1004968</v>
      </c>
    </row>
    <row r="13" spans="1:11" x14ac:dyDescent="0.25">
      <c r="E13" s="23">
        <v>11</v>
      </c>
      <c r="F13" s="21" t="s">
        <v>45</v>
      </c>
      <c r="H13" s="44">
        <v>1006110</v>
      </c>
    </row>
    <row r="14" spans="1:11" x14ac:dyDescent="0.25">
      <c r="E14" s="23">
        <v>12</v>
      </c>
      <c r="F14" s="21" t="s">
        <v>46</v>
      </c>
      <c r="H14" s="21" t="s">
        <v>268</v>
      </c>
    </row>
    <row r="15" spans="1:11" x14ac:dyDescent="0.25">
      <c r="E15" s="23">
        <v>13</v>
      </c>
      <c r="F15" s="21" t="s">
        <v>47</v>
      </c>
      <c r="H15" s="21" t="s">
        <v>271</v>
      </c>
    </row>
    <row r="16" spans="1:11" x14ac:dyDescent="0.25">
      <c r="E16" s="23">
        <v>14</v>
      </c>
      <c r="F16" s="21" t="s">
        <v>48</v>
      </c>
      <c r="H16" s="21" t="s">
        <v>269</v>
      </c>
    </row>
    <row r="17" spans="5:8" x14ac:dyDescent="0.25">
      <c r="E17" s="23">
        <v>15</v>
      </c>
      <c r="F17" s="21" t="s">
        <v>49</v>
      </c>
      <c r="H17" s="21" t="s">
        <v>272</v>
      </c>
    </row>
    <row r="18" spans="5:8" x14ac:dyDescent="0.25">
      <c r="E18" s="23">
        <v>16</v>
      </c>
      <c r="F18" s="21" t="s">
        <v>50</v>
      </c>
      <c r="H18" s="21" t="s">
        <v>270</v>
      </c>
    </row>
    <row r="19" spans="5:8" x14ac:dyDescent="0.25">
      <c r="E19" s="23">
        <v>17</v>
      </c>
      <c r="F19" s="21" t="s">
        <v>51</v>
      </c>
      <c r="H19" s="21" t="s">
        <v>273</v>
      </c>
    </row>
    <row r="20" spans="5:8" x14ac:dyDescent="0.25">
      <c r="E20" s="23">
        <v>18</v>
      </c>
      <c r="F20" s="21" t="s">
        <v>52</v>
      </c>
      <c r="H20" s="21" t="s">
        <v>274</v>
      </c>
    </row>
    <row r="21" spans="5:8" x14ac:dyDescent="0.25">
      <c r="E21" s="23">
        <v>19</v>
      </c>
      <c r="F21" s="21" t="s">
        <v>53</v>
      </c>
      <c r="H21" s="21" t="s">
        <v>275</v>
      </c>
    </row>
    <row r="22" spans="5:8" x14ac:dyDescent="0.25">
      <c r="E22" s="23">
        <v>20</v>
      </c>
      <c r="F22" s="21" t="s">
        <v>54</v>
      </c>
      <c r="H22" s="21" t="s">
        <v>276</v>
      </c>
    </row>
    <row r="23" spans="5:8" x14ac:dyDescent="0.25">
      <c r="E23" s="23">
        <v>21</v>
      </c>
      <c r="F23" s="21" t="s">
        <v>55</v>
      </c>
      <c r="H23" s="21" t="s">
        <v>277</v>
      </c>
    </row>
    <row r="24" spans="5:8" x14ac:dyDescent="0.25">
      <c r="E24" s="23">
        <v>22</v>
      </c>
      <c r="F24" s="21" t="s">
        <v>56</v>
      </c>
      <c r="H24" s="21" t="s">
        <v>278</v>
      </c>
    </row>
    <row r="25" spans="5:8" x14ac:dyDescent="0.25">
      <c r="E25" s="23">
        <v>23</v>
      </c>
      <c r="F25" s="21" t="s">
        <v>57</v>
      </c>
      <c r="H25" s="21" t="s">
        <v>279</v>
      </c>
    </row>
    <row r="26" spans="5:8" x14ac:dyDescent="0.25">
      <c r="E26" s="23">
        <v>24</v>
      </c>
      <c r="F26" s="21" t="s">
        <v>58</v>
      </c>
      <c r="H26" s="21" t="s">
        <v>280</v>
      </c>
    </row>
    <row r="27" spans="5:8" x14ac:dyDescent="0.25">
      <c r="E27" s="23">
        <v>25</v>
      </c>
      <c r="F27" s="21" t="s">
        <v>59</v>
      </c>
      <c r="H27" s="21" t="s">
        <v>281</v>
      </c>
    </row>
    <row r="28" spans="5:8" x14ac:dyDescent="0.25">
      <c r="E28" s="23">
        <v>26</v>
      </c>
      <c r="F28" s="21" t="s">
        <v>60</v>
      </c>
    </row>
    <row r="29" spans="5:8" x14ac:dyDescent="0.25">
      <c r="E29" s="23">
        <v>27</v>
      </c>
      <c r="F29" s="21" t="s">
        <v>61</v>
      </c>
    </row>
    <row r="30" spans="5:8" x14ac:dyDescent="0.25">
      <c r="E30" s="23">
        <v>28</v>
      </c>
      <c r="F30" s="21" t="s">
        <v>62</v>
      </c>
    </row>
    <row r="31" spans="5:8" x14ac:dyDescent="0.25">
      <c r="E31" s="23">
        <v>29</v>
      </c>
      <c r="F31" s="21" t="s">
        <v>63</v>
      </c>
    </row>
    <row r="32" spans="5:8" x14ac:dyDescent="0.25">
      <c r="E32" s="23">
        <v>30</v>
      </c>
      <c r="F32" s="21" t="s">
        <v>64</v>
      </c>
    </row>
    <row r="33" spans="5:6" x14ac:dyDescent="0.25">
      <c r="E33" s="23">
        <v>31</v>
      </c>
      <c r="F33" s="21" t="s">
        <v>65</v>
      </c>
    </row>
    <row r="34" spans="5:6" x14ac:dyDescent="0.25">
      <c r="E34" s="23">
        <v>32</v>
      </c>
      <c r="F34" s="21" t="s">
        <v>66</v>
      </c>
    </row>
    <row r="35" spans="5:6" x14ac:dyDescent="0.25">
      <c r="E35" s="23">
        <v>33</v>
      </c>
      <c r="F35" s="21" t="s">
        <v>67</v>
      </c>
    </row>
    <row r="36" spans="5:6" x14ac:dyDescent="0.25">
      <c r="E36" s="23">
        <v>34</v>
      </c>
      <c r="F36" s="21" t="s">
        <v>68</v>
      </c>
    </row>
    <row r="37" spans="5:6" x14ac:dyDescent="0.25">
      <c r="E37" s="23">
        <v>35</v>
      </c>
      <c r="F37" s="21" t="s">
        <v>69</v>
      </c>
    </row>
    <row r="38" spans="5:6" x14ac:dyDescent="0.25">
      <c r="E38" s="23">
        <v>36</v>
      </c>
      <c r="F38" s="21" t="s">
        <v>70</v>
      </c>
    </row>
    <row r="39" spans="5:6" x14ac:dyDescent="0.25">
      <c r="E39" s="23">
        <v>37</v>
      </c>
      <c r="F39" s="21" t="s">
        <v>71</v>
      </c>
    </row>
    <row r="40" spans="5:6" x14ac:dyDescent="0.25">
      <c r="E40" s="23">
        <v>38</v>
      </c>
      <c r="F40" s="21" t="s">
        <v>72</v>
      </c>
    </row>
    <row r="41" spans="5:6" x14ac:dyDescent="0.25">
      <c r="E41" s="23">
        <v>39</v>
      </c>
      <c r="F41" s="21" t="s">
        <v>73</v>
      </c>
    </row>
    <row r="42" spans="5:6" x14ac:dyDescent="0.25">
      <c r="E42" s="23">
        <v>40</v>
      </c>
      <c r="F42" s="21" t="s">
        <v>74</v>
      </c>
    </row>
    <row r="43" spans="5:6" x14ac:dyDescent="0.25">
      <c r="E43" s="23">
        <v>41</v>
      </c>
      <c r="F43" s="21" t="s">
        <v>75</v>
      </c>
    </row>
    <row r="44" spans="5:6" x14ac:dyDescent="0.25">
      <c r="E44" s="23">
        <v>42</v>
      </c>
      <c r="F44" s="21" t="s">
        <v>76</v>
      </c>
    </row>
    <row r="45" spans="5:6" x14ac:dyDescent="0.25">
      <c r="E45" s="23">
        <v>43</v>
      </c>
      <c r="F45" s="21" t="s">
        <v>77</v>
      </c>
    </row>
    <row r="46" spans="5:6" x14ac:dyDescent="0.25">
      <c r="E46" s="23">
        <v>44</v>
      </c>
      <c r="F46" s="21" t="s">
        <v>78</v>
      </c>
    </row>
    <row r="47" spans="5:6" x14ac:dyDescent="0.25">
      <c r="E47" s="23">
        <v>45</v>
      </c>
      <c r="F47" s="21" t="s">
        <v>79</v>
      </c>
    </row>
    <row r="48" spans="5:6" x14ac:dyDescent="0.25">
      <c r="E48" s="23">
        <v>46</v>
      </c>
      <c r="F48" s="21" t="s">
        <v>80</v>
      </c>
    </row>
    <row r="49" spans="5:6" x14ac:dyDescent="0.25">
      <c r="E49" s="23">
        <v>47</v>
      </c>
      <c r="F49" s="21" t="s">
        <v>81</v>
      </c>
    </row>
    <row r="50" spans="5:6" x14ac:dyDescent="0.25">
      <c r="E50" s="23">
        <v>48</v>
      </c>
      <c r="F50" s="21" t="s">
        <v>82</v>
      </c>
    </row>
    <row r="51" spans="5:6" x14ac:dyDescent="0.25">
      <c r="E51" s="23">
        <v>49</v>
      </c>
      <c r="F51" s="21" t="s">
        <v>83</v>
      </c>
    </row>
    <row r="52" spans="5:6" x14ac:dyDescent="0.25">
      <c r="E52" s="23">
        <v>50</v>
      </c>
      <c r="F52" s="21" t="s">
        <v>84</v>
      </c>
    </row>
    <row r="53" spans="5:6" x14ac:dyDescent="0.25">
      <c r="E53" s="23">
        <v>51</v>
      </c>
      <c r="F53" s="21" t="s">
        <v>85</v>
      </c>
    </row>
    <row r="54" spans="5:6" x14ac:dyDescent="0.25">
      <c r="E54" s="23">
        <v>52</v>
      </c>
      <c r="F54" s="21" t="s">
        <v>86</v>
      </c>
    </row>
    <row r="55" spans="5:6" x14ac:dyDescent="0.25">
      <c r="E55" s="23">
        <v>53</v>
      </c>
      <c r="F55" s="21" t="s">
        <v>87</v>
      </c>
    </row>
    <row r="56" spans="5:6" x14ac:dyDescent="0.25">
      <c r="E56" s="23">
        <v>54</v>
      </c>
      <c r="F56" s="21" t="s">
        <v>88</v>
      </c>
    </row>
    <row r="57" spans="5:6" x14ac:dyDescent="0.25">
      <c r="E57" s="23">
        <v>55</v>
      </c>
      <c r="F57" s="21" t="s">
        <v>89</v>
      </c>
    </row>
    <row r="58" spans="5:6" x14ac:dyDescent="0.25">
      <c r="E58" s="23">
        <v>56</v>
      </c>
      <c r="F58" s="21" t="s">
        <v>90</v>
      </c>
    </row>
    <row r="59" spans="5:6" x14ac:dyDescent="0.25">
      <c r="E59" s="23">
        <v>57</v>
      </c>
      <c r="F59" s="21" t="s">
        <v>91</v>
      </c>
    </row>
    <row r="60" spans="5:6" x14ac:dyDescent="0.25">
      <c r="E60" s="23">
        <v>58</v>
      </c>
      <c r="F60" s="21" t="s">
        <v>92</v>
      </c>
    </row>
    <row r="61" spans="5:6" x14ac:dyDescent="0.25">
      <c r="E61" s="23">
        <v>59</v>
      </c>
      <c r="F61" s="21" t="s">
        <v>93</v>
      </c>
    </row>
    <row r="62" spans="5:6" x14ac:dyDescent="0.25">
      <c r="E62" s="23">
        <v>60</v>
      </c>
      <c r="F62" s="21" t="s">
        <v>94</v>
      </c>
    </row>
    <row r="63" spans="5:6" x14ac:dyDescent="0.25">
      <c r="E63" s="23">
        <v>61</v>
      </c>
      <c r="F63" s="21" t="s">
        <v>95</v>
      </c>
    </row>
    <row r="64" spans="5:6" x14ac:dyDescent="0.25">
      <c r="E64" s="23">
        <v>62</v>
      </c>
      <c r="F64" s="21" t="s">
        <v>96</v>
      </c>
    </row>
    <row r="65" spans="5:6" x14ac:dyDescent="0.25">
      <c r="E65" s="23">
        <v>63</v>
      </c>
      <c r="F65" s="21" t="s">
        <v>97</v>
      </c>
    </row>
    <row r="66" spans="5:6" x14ac:dyDescent="0.25">
      <c r="E66" s="23">
        <v>64</v>
      </c>
      <c r="F66" s="21" t="s">
        <v>98</v>
      </c>
    </row>
    <row r="67" spans="5:6" x14ac:dyDescent="0.25">
      <c r="E67" s="23">
        <v>65</v>
      </c>
      <c r="F67" s="21" t="s">
        <v>99</v>
      </c>
    </row>
    <row r="68" spans="5:6" x14ac:dyDescent="0.25">
      <c r="E68" s="23">
        <v>66</v>
      </c>
      <c r="F68" s="21" t="s">
        <v>100</v>
      </c>
    </row>
    <row r="69" spans="5:6" x14ac:dyDescent="0.25">
      <c r="E69" s="23">
        <v>67</v>
      </c>
      <c r="F69" s="21" t="s">
        <v>101</v>
      </c>
    </row>
    <row r="70" spans="5:6" x14ac:dyDescent="0.25">
      <c r="E70" s="23">
        <v>68</v>
      </c>
      <c r="F70" s="21" t="s">
        <v>102</v>
      </c>
    </row>
    <row r="71" spans="5:6" x14ac:dyDescent="0.25">
      <c r="E71" s="23">
        <v>69</v>
      </c>
      <c r="F71" s="21" t="s">
        <v>103</v>
      </c>
    </row>
    <row r="72" spans="5:6" x14ac:dyDescent="0.25">
      <c r="E72" s="23">
        <v>70</v>
      </c>
      <c r="F72" s="21" t="s">
        <v>104</v>
      </c>
    </row>
    <row r="73" spans="5:6" x14ac:dyDescent="0.25">
      <c r="E73" s="23">
        <v>71</v>
      </c>
      <c r="F73" s="21" t="s">
        <v>105</v>
      </c>
    </row>
    <row r="74" spans="5:6" x14ac:dyDescent="0.25">
      <c r="E74" s="23">
        <v>72</v>
      </c>
      <c r="F74" s="21" t="s">
        <v>106</v>
      </c>
    </row>
    <row r="75" spans="5:6" x14ac:dyDescent="0.25">
      <c r="E75" s="23">
        <v>73</v>
      </c>
      <c r="F75" s="21" t="s">
        <v>107</v>
      </c>
    </row>
    <row r="76" spans="5:6" x14ac:dyDescent="0.25">
      <c r="E76" s="23">
        <v>74</v>
      </c>
      <c r="F76" s="21" t="s">
        <v>108</v>
      </c>
    </row>
    <row r="77" spans="5:6" x14ac:dyDescent="0.25">
      <c r="E77" s="23">
        <v>75</v>
      </c>
      <c r="F77" s="21" t="s">
        <v>109</v>
      </c>
    </row>
    <row r="78" spans="5:6" x14ac:dyDescent="0.25">
      <c r="E78" s="23">
        <v>76</v>
      </c>
      <c r="F78" s="21" t="s">
        <v>110</v>
      </c>
    </row>
    <row r="79" spans="5:6" x14ac:dyDescent="0.25">
      <c r="E79" s="23">
        <v>77</v>
      </c>
      <c r="F79" s="21" t="s">
        <v>111</v>
      </c>
    </row>
    <row r="80" spans="5:6" x14ac:dyDescent="0.25">
      <c r="E80" s="23">
        <v>78</v>
      </c>
      <c r="F80" s="21" t="s">
        <v>112</v>
      </c>
    </row>
    <row r="81" spans="5:6" x14ac:dyDescent="0.25">
      <c r="E81" s="23">
        <v>79</v>
      </c>
      <c r="F81" s="21" t="s">
        <v>113</v>
      </c>
    </row>
    <row r="82" spans="5:6" x14ac:dyDescent="0.25">
      <c r="E82" s="23">
        <v>80</v>
      </c>
      <c r="F82" s="21" t="s">
        <v>114</v>
      </c>
    </row>
    <row r="83" spans="5:6" x14ac:dyDescent="0.25">
      <c r="E83" s="23">
        <v>81</v>
      </c>
      <c r="F83" s="21" t="s">
        <v>115</v>
      </c>
    </row>
    <row r="84" spans="5:6" x14ac:dyDescent="0.25">
      <c r="E84" s="23">
        <v>82</v>
      </c>
      <c r="F84" s="21" t="s">
        <v>116</v>
      </c>
    </row>
    <row r="85" spans="5:6" x14ac:dyDescent="0.25">
      <c r="E85" s="23">
        <v>83</v>
      </c>
      <c r="F85" s="21" t="s">
        <v>117</v>
      </c>
    </row>
    <row r="86" spans="5:6" x14ac:dyDescent="0.25">
      <c r="E86" s="23">
        <v>84</v>
      </c>
      <c r="F86" s="21" t="s">
        <v>118</v>
      </c>
    </row>
    <row r="87" spans="5:6" x14ac:dyDescent="0.25">
      <c r="E87" s="23">
        <v>85</v>
      </c>
      <c r="F87" s="21" t="s">
        <v>119</v>
      </c>
    </row>
    <row r="88" spans="5:6" x14ac:dyDescent="0.25">
      <c r="E88" s="23">
        <v>86</v>
      </c>
      <c r="F88" s="21" t="s">
        <v>120</v>
      </c>
    </row>
    <row r="89" spans="5:6" x14ac:dyDescent="0.25">
      <c r="E89" s="23">
        <v>87</v>
      </c>
      <c r="F89" s="21" t="s">
        <v>121</v>
      </c>
    </row>
    <row r="90" spans="5:6" x14ac:dyDescent="0.25">
      <c r="E90" s="23">
        <v>88</v>
      </c>
      <c r="F90" s="21" t="s">
        <v>122</v>
      </c>
    </row>
    <row r="91" spans="5:6" x14ac:dyDescent="0.25">
      <c r="E91" s="23">
        <v>89</v>
      </c>
      <c r="F91" s="21" t="s">
        <v>123</v>
      </c>
    </row>
    <row r="92" spans="5:6" x14ac:dyDescent="0.25">
      <c r="E92" s="23">
        <v>90</v>
      </c>
      <c r="F92" s="21" t="s">
        <v>124</v>
      </c>
    </row>
    <row r="93" spans="5:6" x14ac:dyDescent="0.25">
      <c r="E93" s="23">
        <v>91</v>
      </c>
      <c r="F93" s="21" t="s">
        <v>125</v>
      </c>
    </row>
    <row r="94" spans="5:6" x14ac:dyDescent="0.25">
      <c r="E94" s="23">
        <v>92</v>
      </c>
      <c r="F94" s="21" t="s">
        <v>126</v>
      </c>
    </row>
    <row r="95" spans="5:6" x14ac:dyDescent="0.25">
      <c r="E95" s="23">
        <v>93</v>
      </c>
      <c r="F95" s="21" t="s">
        <v>127</v>
      </c>
    </row>
    <row r="96" spans="5:6" x14ac:dyDescent="0.25">
      <c r="E96" s="23">
        <v>94</v>
      </c>
      <c r="F96" s="21" t="s">
        <v>128</v>
      </c>
    </row>
    <row r="97" spans="5:6" x14ac:dyDescent="0.25">
      <c r="E97" s="23">
        <v>95</v>
      </c>
      <c r="F97" s="21" t="s">
        <v>129</v>
      </c>
    </row>
    <row r="98" spans="5:6" x14ac:dyDescent="0.25">
      <c r="E98" s="23">
        <v>96</v>
      </c>
      <c r="F98" s="21" t="s">
        <v>130</v>
      </c>
    </row>
    <row r="99" spans="5:6" x14ac:dyDescent="0.25">
      <c r="E99" s="23">
        <v>97</v>
      </c>
      <c r="F99" s="21" t="s">
        <v>131</v>
      </c>
    </row>
    <row r="100" spans="5:6" x14ac:dyDescent="0.25">
      <c r="E100" s="23">
        <v>98</v>
      </c>
      <c r="F100" s="21" t="s">
        <v>132</v>
      </c>
    </row>
    <row r="101" spans="5:6" x14ac:dyDescent="0.25">
      <c r="E101" s="23">
        <v>99</v>
      </c>
      <c r="F101" s="21" t="s">
        <v>133</v>
      </c>
    </row>
    <row r="102" spans="5:6" x14ac:dyDescent="0.25">
      <c r="E102" s="23">
        <v>100</v>
      </c>
      <c r="F102" s="21" t="s">
        <v>134</v>
      </c>
    </row>
    <row r="103" spans="5:6" x14ac:dyDescent="0.25">
      <c r="E103" s="23">
        <v>101</v>
      </c>
      <c r="F103" s="21" t="s">
        <v>135</v>
      </c>
    </row>
    <row r="104" spans="5:6" x14ac:dyDescent="0.25">
      <c r="E104" s="23">
        <v>102</v>
      </c>
      <c r="F104" s="21" t="s">
        <v>136</v>
      </c>
    </row>
    <row r="105" spans="5:6" x14ac:dyDescent="0.25">
      <c r="E105" s="23">
        <v>103</v>
      </c>
      <c r="F105" s="21" t="s">
        <v>137</v>
      </c>
    </row>
    <row r="106" spans="5:6" x14ac:dyDescent="0.25">
      <c r="E106" s="23">
        <v>104</v>
      </c>
      <c r="F106" s="21" t="s">
        <v>138</v>
      </c>
    </row>
    <row r="107" spans="5:6" x14ac:dyDescent="0.25">
      <c r="E107" s="23">
        <v>105</v>
      </c>
      <c r="F107" s="21" t="s">
        <v>139</v>
      </c>
    </row>
    <row r="108" spans="5:6" x14ac:dyDescent="0.25">
      <c r="E108" s="23">
        <v>106</v>
      </c>
      <c r="F108" s="21" t="s">
        <v>140</v>
      </c>
    </row>
    <row r="109" spans="5:6" x14ac:dyDescent="0.25">
      <c r="E109" s="23">
        <v>107</v>
      </c>
      <c r="F109" s="21" t="s">
        <v>141</v>
      </c>
    </row>
    <row r="110" spans="5:6" x14ac:dyDescent="0.25">
      <c r="E110" s="23">
        <v>108</v>
      </c>
      <c r="F110" s="21" t="s">
        <v>142</v>
      </c>
    </row>
    <row r="111" spans="5:6" x14ac:dyDescent="0.25">
      <c r="E111" s="23">
        <v>109</v>
      </c>
      <c r="F111" s="21" t="s">
        <v>143</v>
      </c>
    </row>
    <row r="112" spans="5:6" x14ac:dyDescent="0.25">
      <c r="E112" s="23">
        <v>110</v>
      </c>
      <c r="F112" s="21" t="s">
        <v>144</v>
      </c>
    </row>
    <row r="113" spans="5:6" x14ac:dyDescent="0.25">
      <c r="E113" s="23">
        <v>111</v>
      </c>
      <c r="F113" s="21" t="s">
        <v>145</v>
      </c>
    </row>
    <row r="114" spans="5:6" x14ac:dyDescent="0.25">
      <c r="E114" s="23">
        <v>112</v>
      </c>
      <c r="F114" s="21" t="s">
        <v>146</v>
      </c>
    </row>
    <row r="115" spans="5:6" x14ac:dyDescent="0.25">
      <c r="E115" s="23">
        <v>113</v>
      </c>
      <c r="F115" s="21" t="s">
        <v>147</v>
      </c>
    </row>
    <row r="116" spans="5:6" x14ac:dyDescent="0.25">
      <c r="E116" s="23">
        <v>114</v>
      </c>
      <c r="F116" s="21" t="s">
        <v>148</v>
      </c>
    </row>
    <row r="117" spans="5:6" x14ac:dyDescent="0.25">
      <c r="E117" s="23">
        <v>115</v>
      </c>
      <c r="F117" s="21" t="s">
        <v>149</v>
      </c>
    </row>
    <row r="118" spans="5:6" x14ac:dyDescent="0.25">
      <c r="E118" s="23">
        <v>116</v>
      </c>
      <c r="F118" s="21" t="s">
        <v>150</v>
      </c>
    </row>
    <row r="119" spans="5:6" x14ac:dyDescent="0.25">
      <c r="E119" s="23">
        <v>117</v>
      </c>
      <c r="F119" s="21" t="s">
        <v>151</v>
      </c>
    </row>
    <row r="120" spans="5:6" x14ac:dyDescent="0.25">
      <c r="E120" s="23">
        <v>118</v>
      </c>
      <c r="F120" s="21" t="s">
        <v>152</v>
      </c>
    </row>
    <row r="121" spans="5:6" x14ac:dyDescent="0.25">
      <c r="E121" s="23">
        <v>119</v>
      </c>
      <c r="F121" s="21" t="s">
        <v>153</v>
      </c>
    </row>
    <row r="122" spans="5:6" x14ac:dyDescent="0.25">
      <c r="E122" s="23">
        <v>120</v>
      </c>
      <c r="F122" s="21" t="s">
        <v>154</v>
      </c>
    </row>
    <row r="123" spans="5:6" x14ac:dyDescent="0.25">
      <c r="E123" s="23">
        <v>121</v>
      </c>
      <c r="F123" s="21" t="s">
        <v>155</v>
      </c>
    </row>
    <row r="124" spans="5:6" x14ac:dyDescent="0.25">
      <c r="E124" s="23">
        <v>122</v>
      </c>
      <c r="F124" s="21" t="s">
        <v>156</v>
      </c>
    </row>
    <row r="125" spans="5:6" x14ac:dyDescent="0.25">
      <c r="E125" s="23">
        <v>123</v>
      </c>
      <c r="F125" s="21" t="s">
        <v>157</v>
      </c>
    </row>
    <row r="126" spans="5:6" x14ac:dyDescent="0.25">
      <c r="E126" s="23">
        <v>124</v>
      </c>
      <c r="F126" s="21" t="s">
        <v>158</v>
      </c>
    </row>
    <row r="127" spans="5:6" x14ac:dyDescent="0.25">
      <c r="E127" s="23">
        <v>125</v>
      </c>
      <c r="F127" s="21" t="s">
        <v>159</v>
      </c>
    </row>
    <row r="128" spans="5:6" x14ac:dyDescent="0.25">
      <c r="E128" s="23">
        <v>126</v>
      </c>
      <c r="F128" s="21" t="s">
        <v>160</v>
      </c>
    </row>
    <row r="129" spans="5:6" x14ac:dyDescent="0.25">
      <c r="E129" s="23">
        <v>127</v>
      </c>
      <c r="F129" s="21" t="s">
        <v>161</v>
      </c>
    </row>
    <row r="130" spans="5:6" x14ac:dyDescent="0.25">
      <c r="E130" s="23">
        <v>128</v>
      </c>
      <c r="F130" s="21" t="s">
        <v>162</v>
      </c>
    </row>
    <row r="131" spans="5:6" x14ac:dyDescent="0.25">
      <c r="E131" s="23">
        <v>129</v>
      </c>
      <c r="F131" s="21" t="s">
        <v>163</v>
      </c>
    </row>
    <row r="132" spans="5:6" x14ac:dyDescent="0.25">
      <c r="E132" s="23">
        <v>130</v>
      </c>
      <c r="F132" s="21" t="s">
        <v>164</v>
      </c>
    </row>
    <row r="133" spans="5:6" x14ac:dyDescent="0.25">
      <c r="E133" s="23">
        <v>131</v>
      </c>
      <c r="F133" s="21" t="s">
        <v>165</v>
      </c>
    </row>
    <row r="134" spans="5:6" x14ac:dyDescent="0.25">
      <c r="E134" s="23">
        <v>132</v>
      </c>
      <c r="F134" s="21" t="s">
        <v>166</v>
      </c>
    </row>
    <row r="135" spans="5:6" x14ac:dyDescent="0.25">
      <c r="E135" s="23">
        <v>133</v>
      </c>
      <c r="F135" s="21" t="s">
        <v>167</v>
      </c>
    </row>
    <row r="136" spans="5:6" x14ac:dyDescent="0.25">
      <c r="E136" s="23">
        <v>134</v>
      </c>
      <c r="F136" s="21" t="s">
        <v>168</v>
      </c>
    </row>
    <row r="137" spans="5:6" x14ac:dyDescent="0.25">
      <c r="E137" s="23">
        <v>135</v>
      </c>
      <c r="F137" s="21" t="s">
        <v>169</v>
      </c>
    </row>
    <row r="138" spans="5:6" x14ac:dyDescent="0.25">
      <c r="E138" s="23">
        <v>136</v>
      </c>
      <c r="F138" s="21" t="s">
        <v>170</v>
      </c>
    </row>
    <row r="139" spans="5:6" x14ac:dyDescent="0.25">
      <c r="E139" s="23">
        <v>137</v>
      </c>
      <c r="F139" s="21" t="s">
        <v>171</v>
      </c>
    </row>
    <row r="140" spans="5:6" x14ac:dyDescent="0.25">
      <c r="E140" s="23">
        <v>138</v>
      </c>
      <c r="F140" s="21" t="s">
        <v>172</v>
      </c>
    </row>
    <row r="141" spans="5:6" x14ac:dyDescent="0.25">
      <c r="E141" s="23">
        <v>139</v>
      </c>
      <c r="F141" s="21" t="s">
        <v>173</v>
      </c>
    </row>
    <row r="142" spans="5:6" x14ac:dyDescent="0.25">
      <c r="E142" s="23">
        <v>140</v>
      </c>
      <c r="F142" s="21" t="s">
        <v>174</v>
      </c>
    </row>
    <row r="143" spans="5:6" x14ac:dyDescent="0.25">
      <c r="E143" s="23">
        <v>141</v>
      </c>
      <c r="F143" s="21" t="s">
        <v>175</v>
      </c>
    </row>
    <row r="144" spans="5:6" x14ac:dyDescent="0.25">
      <c r="E144" s="23">
        <v>142</v>
      </c>
      <c r="F144" s="21" t="s">
        <v>176</v>
      </c>
    </row>
    <row r="145" spans="5:6" x14ac:dyDescent="0.25">
      <c r="E145" s="23">
        <v>143</v>
      </c>
      <c r="F145" s="21" t="s">
        <v>177</v>
      </c>
    </row>
    <row r="146" spans="5:6" x14ac:dyDescent="0.25">
      <c r="E146" s="23">
        <v>144</v>
      </c>
      <c r="F146" s="21" t="s">
        <v>178</v>
      </c>
    </row>
    <row r="147" spans="5:6" x14ac:dyDescent="0.25">
      <c r="E147" s="23">
        <v>145</v>
      </c>
      <c r="F147" s="21" t="s">
        <v>179</v>
      </c>
    </row>
    <row r="148" spans="5:6" x14ac:dyDescent="0.25">
      <c r="E148" s="23">
        <v>146</v>
      </c>
      <c r="F148" s="21" t="s">
        <v>180</v>
      </c>
    </row>
    <row r="149" spans="5:6" x14ac:dyDescent="0.25">
      <c r="E149" s="23">
        <v>147</v>
      </c>
      <c r="F149" s="21" t="s">
        <v>181</v>
      </c>
    </row>
    <row r="150" spans="5:6" x14ac:dyDescent="0.25">
      <c r="E150" s="23">
        <v>148</v>
      </c>
      <c r="F150" s="21" t="s">
        <v>182</v>
      </c>
    </row>
    <row r="151" spans="5:6" x14ac:dyDescent="0.25">
      <c r="E151" s="23">
        <v>149</v>
      </c>
      <c r="F151" s="21" t="s">
        <v>183</v>
      </c>
    </row>
    <row r="152" spans="5:6" x14ac:dyDescent="0.25">
      <c r="E152" s="23">
        <v>150</v>
      </c>
      <c r="F152" s="21" t="s">
        <v>184</v>
      </c>
    </row>
    <row r="153" spans="5:6" x14ac:dyDescent="0.25">
      <c r="E153" s="23">
        <v>151</v>
      </c>
      <c r="F153" s="21" t="s">
        <v>185</v>
      </c>
    </row>
    <row r="154" spans="5:6" x14ac:dyDescent="0.25">
      <c r="E154" s="23">
        <v>152</v>
      </c>
      <c r="F154" s="21" t="s">
        <v>186</v>
      </c>
    </row>
    <row r="155" spans="5:6" x14ac:dyDescent="0.25">
      <c r="E155" s="23">
        <v>153</v>
      </c>
      <c r="F155" s="21" t="s">
        <v>187</v>
      </c>
    </row>
    <row r="156" spans="5:6" x14ac:dyDescent="0.25">
      <c r="E156" s="23">
        <v>154</v>
      </c>
      <c r="F156" s="21" t="s">
        <v>188</v>
      </c>
    </row>
    <row r="157" spans="5:6" x14ac:dyDescent="0.25">
      <c r="E157" s="23">
        <v>155</v>
      </c>
      <c r="F157" s="21" t="s">
        <v>189</v>
      </c>
    </row>
    <row r="158" spans="5:6" x14ac:dyDescent="0.25">
      <c r="E158" s="23">
        <v>156</v>
      </c>
      <c r="F158" s="21" t="s">
        <v>190</v>
      </c>
    </row>
    <row r="159" spans="5:6" x14ac:dyDescent="0.25">
      <c r="E159" s="23">
        <v>157</v>
      </c>
      <c r="F159" s="21" t="s">
        <v>191</v>
      </c>
    </row>
    <row r="160" spans="5:6" x14ac:dyDescent="0.25">
      <c r="E160" s="23">
        <v>158</v>
      </c>
      <c r="F160" s="21" t="s">
        <v>192</v>
      </c>
    </row>
    <row r="161" spans="5:6" x14ac:dyDescent="0.25">
      <c r="E161" s="23">
        <v>159</v>
      </c>
      <c r="F161" s="21" t="s">
        <v>193</v>
      </c>
    </row>
    <row r="162" spans="5:6" x14ac:dyDescent="0.25">
      <c r="E162" s="23">
        <v>160</v>
      </c>
      <c r="F162" s="21" t="s">
        <v>194</v>
      </c>
    </row>
    <row r="163" spans="5:6" x14ac:dyDescent="0.25">
      <c r="E163" s="23">
        <v>161</v>
      </c>
      <c r="F163" s="21" t="s">
        <v>209</v>
      </c>
    </row>
    <row r="164" spans="5:6" x14ac:dyDescent="0.25">
      <c r="E164" s="23">
        <v>162</v>
      </c>
      <c r="F164" s="21" t="s">
        <v>210</v>
      </c>
    </row>
    <row r="165" spans="5:6" x14ac:dyDescent="0.25">
      <c r="E165" s="23">
        <v>163</v>
      </c>
      <c r="F165" s="21" t="s">
        <v>211</v>
      </c>
    </row>
    <row r="166" spans="5:6" x14ac:dyDescent="0.25">
      <c r="E166" s="23">
        <v>164</v>
      </c>
      <c r="F166" s="21" t="s">
        <v>212</v>
      </c>
    </row>
    <row r="167" spans="5:6" x14ac:dyDescent="0.25">
      <c r="E167" s="23">
        <v>165</v>
      </c>
      <c r="F167" s="21" t="s">
        <v>213</v>
      </c>
    </row>
    <row r="168" spans="5:6" x14ac:dyDescent="0.25">
      <c r="E168" s="23">
        <v>166</v>
      </c>
      <c r="F168" s="21" t="s">
        <v>214</v>
      </c>
    </row>
    <row r="169" spans="5:6" x14ac:dyDescent="0.25">
      <c r="E169" s="23">
        <v>167</v>
      </c>
      <c r="F169" s="21" t="s">
        <v>215</v>
      </c>
    </row>
    <row r="170" spans="5:6" x14ac:dyDescent="0.25">
      <c r="E170" s="23">
        <v>168</v>
      </c>
      <c r="F170" s="21" t="s">
        <v>216</v>
      </c>
    </row>
    <row r="171" spans="5:6" x14ac:dyDescent="0.25">
      <c r="E171" s="23">
        <v>169</v>
      </c>
      <c r="F171" s="21" t="s">
        <v>217</v>
      </c>
    </row>
    <row r="172" spans="5:6" x14ac:dyDescent="0.25">
      <c r="E172" s="23">
        <v>170</v>
      </c>
      <c r="F172" s="21" t="s">
        <v>218</v>
      </c>
    </row>
    <row r="173" spans="5:6" x14ac:dyDescent="0.25">
      <c r="E173" s="23">
        <v>171</v>
      </c>
      <c r="F173" s="21" t="s">
        <v>219</v>
      </c>
    </row>
    <row r="174" spans="5:6" x14ac:dyDescent="0.25">
      <c r="E174" s="23">
        <v>172</v>
      </c>
      <c r="F174" s="21" t="s">
        <v>220</v>
      </c>
    </row>
    <row r="175" spans="5:6" x14ac:dyDescent="0.25">
      <c r="E175" s="23">
        <v>173</v>
      </c>
      <c r="F175" s="21" t="s">
        <v>221</v>
      </c>
    </row>
    <row r="176" spans="5:6" x14ac:dyDescent="0.25">
      <c r="E176" s="23">
        <v>174</v>
      </c>
      <c r="F176" s="21" t="s">
        <v>222</v>
      </c>
    </row>
  </sheetData>
  <sheetProtection algorithmName="SHA-512" hashValue="659ejfCGWjnOY9UxTsaapZz0d5fYpmRFF2bRocBnHwSAITE7JYlz7AKDv48gZtfmFW7JUYwJEfR2xlmJK9Yvmw==" saltValue="kHD7PtfGAiMUFL7H67VeEg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8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9.28515625" style="14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4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82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</row>
    <row r="2" spans="1:12" ht="19.5" x14ac:dyDescent="0.3">
      <c r="A2" s="8"/>
      <c r="B2" s="8"/>
      <c r="C2" s="12"/>
      <c r="D2" s="8"/>
      <c r="E2" s="8"/>
      <c r="F2" s="8"/>
      <c r="G2" s="8"/>
      <c r="H2" s="8"/>
      <c r="I2" s="8"/>
      <c r="J2" s="12"/>
      <c r="K2" s="15"/>
      <c r="L2" s="8"/>
    </row>
    <row r="3" spans="1:12" ht="19.5" x14ac:dyDescent="0.3">
      <c r="A3" s="8"/>
      <c r="B3" s="8"/>
      <c r="C3" s="12"/>
      <c r="D3" s="8"/>
      <c r="E3" s="8"/>
      <c r="F3" s="8"/>
      <c r="G3" s="16"/>
      <c r="H3" s="8"/>
      <c r="I3" s="8"/>
      <c r="J3" s="12"/>
      <c r="K3" s="15"/>
      <c r="L3" s="8"/>
    </row>
    <row r="4" spans="1:12" ht="19.5" x14ac:dyDescent="0.3">
      <c r="A4" s="8"/>
      <c r="B4" s="8"/>
      <c r="C4" s="12"/>
      <c r="D4" s="8"/>
      <c r="E4" s="8"/>
      <c r="F4" s="8"/>
      <c r="G4" s="8"/>
      <c r="H4" s="8"/>
      <c r="I4" s="8"/>
      <c r="J4" s="12"/>
      <c r="K4" s="15"/>
      <c r="L4" s="8"/>
    </row>
    <row r="5" spans="1:12" ht="20.25" thickBot="1" x14ac:dyDescent="0.35">
      <c r="A5" s="8"/>
      <c r="B5" s="8"/>
      <c r="C5" s="12"/>
      <c r="D5" s="8"/>
      <c r="E5" s="8"/>
      <c r="F5" s="8"/>
      <c r="G5" s="8"/>
      <c r="H5" s="8"/>
      <c r="I5" s="8"/>
      <c r="J5" s="12"/>
      <c r="K5" s="15"/>
      <c r="L5" s="8"/>
    </row>
    <row r="6" spans="1:12" ht="15.75" thickBot="1" x14ac:dyDescent="0.3">
      <c r="A6" s="6" t="s">
        <v>1</v>
      </c>
      <c r="B6" s="48">
        <f ca="1">NOW()</f>
        <v>44399.587707638886</v>
      </c>
      <c r="C6" s="83" t="s">
        <v>24</v>
      </c>
      <c r="D6" s="84"/>
      <c r="E6" s="20"/>
      <c r="F6" s="7" t="s">
        <v>25</v>
      </c>
      <c r="G6" s="9" t="s">
        <v>224</v>
      </c>
      <c r="H6" s="87" t="s">
        <v>2</v>
      </c>
      <c r="I6" s="88"/>
      <c r="J6" s="85"/>
      <c r="K6" s="86"/>
      <c r="L6" s="4"/>
    </row>
    <row r="7" spans="1:12" s="4" customFormat="1" ht="15" thickBot="1" x14ac:dyDescent="0.25">
      <c r="A7" s="5"/>
      <c r="C7" s="13"/>
      <c r="J7" s="13"/>
      <c r="K7" s="5"/>
    </row>
    <row r="8" spans="1:12" s="28" customFormat="1" ht="33.75" customHeight="1" thickBot="1" x14ac:dyDescent="0.25">
      <c r="A8" s="63" t="s">
        <v>3</v>
      </c>
      <c r="B8" s="64" t="s">
        <v>4</v>
      </c>
      <c r="C8" s="65" t="s">
        <v>199</v>
      </c>
      <c r="D8" s="66" t="s">
        <v>26</v>
      </c>
      <c r="E8" s="67" t="s">
        <v>5</v>
      </c>
      <c r="F8" s="68" t="s">
        <v>6</v>
      </c>
      <c r="G8" s="68" t="s">
        <v>8</v>
      </c>
      <c r="H8" s="68" t="s">
        <v>7</v>
      </c>
      <c r="I8" s="69" t="s">
        <v>197</v>
      </c>
      <c r="J8" s="70" t="s">
        <v>200</v>
      </c>
      <c r="K8" s="71" t="s">
        <v>201</v>
      </c>
      <c r="L8" s="72" t="s">
        <v>9</v>
      </c>
    </row>
    <row r="9" spans="1:12" ht="16.5" customHeight="1" x14ac:dyDescent="0.25">
      <c r="A9" s="17" t="s">
        <v>10</v>
      </c>
      <c r="B9" s="45" t="s">
        <v>236</v>
      </c>
      <c r="C9" s="89"/>
      <c r="D9" s="32" t="str">
        <f>IFERROR(VLOOKUP(C9,DATOS!$E$2:$F$200,2,FALSE),"Sin Datos")</f>
        <v>Sin Datos</v>
      </c>
      <c r="E9" s="54"/>
      <c r="F9" s="38"/>
      <c r="G9" s="38"/>
      <c r="H9" s="38"/>
      <c r="I9" s="41"/>
      <c r="J9" s="60"/>
      <c r="K9" s="32" t="str">
        <f>IFERROR(VLOOKUP(J9,DATOS!$J$2:$K$5,2,FALSE),"SIN PARO")</f>
        <v>SIN PARO</v>
      </c>
      <c r="L9" s="57"/>
    </row>
    <row r="10" spans="1:12" ht="16.5" customHeight="1" x14ac:dyDescent="0.25">
      <c r="A10" s="18" t="s">
        <v>10</v>
      </c>
      <c r="B10" s="46" t="s">
        <v>236</v>
      </c>
      <c r="C10" s="89"/>
      <c r="D10" s="33" t="str">
        <f>IFERROR(VLOOKUP(C10,DATOS!$E$2:$F$200,2,FALSE),"Sin Datos")</f>
        <v>Sin Datos</v>
      </c>
      <c r="E10" s="55"/>
      <c r="F10" s="39"/>
      <c r="G10" s="39"/>
      <c r="H10" s="39"/>
      <c r="I10" s="42"/>
      <c r="J10" s="61"/>
      <c r="K10" s="33" t="str">
        <f>IFERROR(VLOOKUP(J10,DATOS!$J$2:$K$5,2,FALSE),"SIN PARO")</f>
        <v>SIN PARO</v>
      </c>
      <c r="L10" s="58"/>
    </row>
    <row r="11" spans="1:12" ht="16.5" customHeight="1" x14ac:dyDescent="0.2">
      <c r="A11" s="18" t="s">
        <v>10</v>
      </c>
      <c r="B11" s="46" t="s">
        <v>237</v>
      </c>
      <c r="C11" s="55"/>
      <c r="D11" s="33" t="str">
        <f>IFERROR(VLOOKUP(C11,DATOS!$E$2:$F$200,2,FALSE),"Sin Datos")</f>
        <v>Sin Datos</v>
      </c>
      <c r="E11" s="55"/>
      <c r="F11" s="39"/>
      <c r="G11" s="39"/>
      <c r="H11" s="39"/>
      <c r="I11" s="42"/>
      <c r="J11" s="61"/>
      <c r="K11" s="33" t="str">
        <f>IFERROR(VLOOKUP(J11,DATOS!$J$2:$K$5,2,FALSE),"SIN PARO")</f>
        <v>SIN PARO</v>
      </c>
      <c r="L11" s="58"/>
    </row>
    <row r="12" spans="1:12" ht="16.5" customHeight="1" thickBot="1" x14ac:dyDescent="0.25">
      <c r="A12" s="19" t="s">
        <v>10</v>
      </c>
      <c r="B12" s="47" t="s">
        <v>237</v>
      </c>
      <c r="C12" s="56"/>
      <c r="D12" s="34" t="str">
        <f>IFERROR(VLOOKUP(C12,DATOS!$E$2:$F$200,2,FALSE),"Sin Datos")</f>
        <v>Sin Datos</v>
      </c>
      <c r="E12" s="56"/>
      <c r="F12" s="40"/>
      <c r="G12" s="40"/>
      <c r="H12" s="40"/>
      <c r="I12" s="43"/>
      <c r="J12" s="62"/>
      <c r="K12" s="34" t="str">
        <f>IFERROR(VLOOKUP(J12,DATOS!$J$2:$K$5,2,FALSE),"SIN PARO")</f>
        <v>SIN PARO</v>
      </c>
      <c r="L12" s="59"/>
    </row>
    <row r="13" spans="1:12" ht="15" x14ac:dyDescent="0.25">
      <c r="A13" s="18" t="s">
        <v>260</v>
      </c>
      <c r="B13" s="46" t="s">
        <v>260</v>
      </c>
      <c r="C13" s="89"/>
      <c r="D13" s="33" t="str">
        <f>IFERROR(VLOOKUP(C13,DATOS!$E$2:$F$200,2,FALSE),"Sin Datos")</f>
        <v>Sin Datos</v>
      </c>
      <c r="E13" s="54"/>
      <c r="F13" s="39"/>
      <c r="G13" s="39"/>
      <c r="H13" s="39"/>
      <c r="I13" s="42"/>
      <c r="J13" s="61"/>
      <c r="K13" s="33" t="str">
        <f>IFERROR(VLOOKUP(J13,DATOS!$J$2:$K$5,2,FALSE),"SIN PARO")</f>
        <v>SIN PARO</v>
      </c>
      <c r="L13" s="58"/>
    </row>
    <row r="14" spans="1:12" ht="15" x14ac:dyDescent="0.2">
      <c r="A14" s="18" t="s">
        <v>260</v>
      </c>
      <c r="B14" s="46" t="s">
        <v>260</v>
      </c>
      <c r="C14" s="55"/>
      <c r="D14" s="33" t="str">
        <f>IFERROR(VLOOKUP(C14,DATOS!$E$2:$F$200,2,FALSE),"Sin Datos")</f>
        <v>Sin Datos</v>
      </c>
      <c r="E14" s="55"/>
      <c r="F14" s="39"/>
      <c r="G14" s="39"/>
      <c r="H14" s="39"/>
      <c r="I14" s="42"/>
      <c r="J14" s="61"/>
      <c r="K14" s="33" t="str">
        <f>IFERROR(VLOOKUP(J14,DATOS!$J$2:$K$5,2,FALSE),"SIN PARO")</f>
        <v>SIN PARO</v>
      </c>
      <c r="L14" s="58"/>
    </row>
    <row r="15" spans="1:12" ht="15" x14ac:dyDescent="0.2">
      <c r="A15" s="18" t="s">
        <v>260</v>
      </c>
      <c r="B15" s="46" t="s">
        <v>260</v>
      </c>
      <c r="C15" s="55"/>
      <c r="D15" s="33" t="str">
        <f>IFERROR(VLOOKUP(C15,DATOS!$E$2:$F$200,2,FALSE),"Sin Datos")</f>
        <v>Sin Datos</v>
      </c>
      <c r="E15" s="55"/>
      <c r="F15" s="39"/>
      <c r="G15" s="39"/>
      <c r="H15" s="39"/>
      <c r="I15" s="42"/>
      <c r="J15" s="61"/>
      <c r="K15" s="33" t="str">
        <f>IFERROR(VLOOKUP(J15,DATOS!$J$2:$K$5,2,FALSE),"SIN PARO")</f>
        <v>SIN PARO</v>
      </c>
      <c r="L15" s="58"/>
    </row>
    <row r="16" spans="1:12" ht="15" x14ac:dyDescent="0.2">
      <c r="A16" s="18" t="s">
        <v>260</v>
      </c>
      <c r="B16" s="46" t="s">
        <v>260</v>
      </c>
      <c r="C16" s="55"/>
      <c r="D16" s="33" t="str">
        <f>IFERROR(VLOOKUP(C16,DATOS!$E$2:$F$200,2,FALSE),"Sin Datos")</f>
        <v>Sin Datos</v>
      </c>
      <c r="E16" s="55"/>
      <c r="F16" s="39"/>
      <c r="G16" s="39"/>
      <c r="H16" s="39"/>
      <c r="I16" s="42"/>
      <c r="J16" s="61"/>
      <c r="K16" s="33" t="str">
        <f>IFERROR(VLOOKUP(J16,DATOS!$J$2:$K$5,2,FALSE),"SIN PARO")</f>
        <v>SIN PARO</v>
      </c>
      <c r="L16" s="58"/>
    </row>
    <row r="17" spans="1:12" ht="15.75" thickBot="1" x14ac:dyDescent="0.25">
      <c r="A17" s="18" t="s">
        <v>260</v>
      </c>
      <c r="B17" s="46" t="s">
        <v>260</v>
      </c>
      <c r="C17" s="55"/>
      <c r="D17" s="33" t="str">
        <f>IFERROR(VLOOKUP(C17,DATOS!$E$2:$F$200,2,FALSE),"Sin Datos")</f>
        <v>Sin Datos</v>
      </c>
      <c r="E17" s="55"/>
      <c r="F17" s="39"/>
      <c r="G17" s="39"/>
      <c r="H17" s="39"/>
      <c r="I17" s="42"/>
      <c r="J17" s="61"/>
      <c r="K17" s="33" t="str">
        <f>IFERROR(VLOOKUP(J17,DATOS!$J$2:$K$5,2,FALSE),"SIN PARO")</f>
        <v>SIN PARO</v>
      </c>
      <c r="L17" s="58"/>
    </row>
    <row r="18" spans="1:12" ht="15" x14ac:dyDescent="0.2">
      <c r="A18" s="17" t="s">
        <v>252</v>
      </c>
      <c r="B18" s="45" t="s">
        <v>257</v>
      </c>
      <c r="C18" s="54"/>
      <c r="D18" s="32" t="str">
        <f>IFERROR(VLOOKUP(C18,DATOS!$E$2:$F$200,2,FALSE),"Sin Datos")</f>
        <v>Sin Datos</v>
      </c>
      <c r="E18" s="54"/>
      <c r="F18" s="38"/>
      <c r="G18" s="38"/>
      <c r="H18" s="38"/>
      <c r="I18" s="41"/>
      <c r="J18" s="60"/>
      <c r="K18" s="32" t="str">
        <f>IFERROR(VLOOKUP(J18,DATOS!$J$2:$K$5,2,FALSE),"SIN PARO")</f>
        <v>SIN PARO</v>
      </c>
      <c r="L18" s="57"/>
    </row>
    <row r="19" spans="1:12" ht="15" x14ac:dyDescent="0.2">
      <c r="A19" s="18" t="s">
        <v>252</v>
      </c>
      <c r="B19" s="46" t="s">
        <v>257</v>
      </c>
      <c r="C19" s="55"/>
      <c r="D19" s="33" t="str">
        <f>IFERROR(VLOOKUP(C19,DATOS!$E$2:$F$200,2,FALSE),"Sin Datos")</f>
        <v>Sin Datos</v>
      </c>
      <c r="E19" s="55"/>
      <c r="F19" s="39"/>
      <c r="G19" s="39"/>
      <c r="H19" s="39"/>
      <c r="I19" s="42"/>
      <c r="J19" s="61"/>
      <c r="K19" s="33" t="str">
        <f>IFERROR(VLOOKUP(J19,DATOS!$J$2:$K$5,2,FALSE),"SIN PARO")</f>
        <v>SIN PARO</v>
      </c>
      <c r="L19" s="58"/>
    </row>
    <row r="20" spans="1:12" ht="15" x14ac:dyDescent="0.2">
      <c r="A20" s="18" t="s">
        <v>252</v>
      </c>
      <c r="B20" s="46" t="s">
        <v>257</v>
      </c>
      <c r="C20" s="55"/>
      <c r="D20" s="33" t="str">
        <f>IFERROR(VLOOKUP(C20,DATOS!$E$2:$F$200,2,FALSE),"Sin Datos")</f>
        <v>Sin Datos</v>
      </c>
      <c r="E20" s="55"/>
      <c r="F20" s="39"/>
      <c r="G20" s="39"/>
      <c r="H20" s="39"/>
      <c r="I20" s="42"/>
      <c r="J20" s="61"/>
      <c r="K20" s="33" t="str">
        <f>IFERROR(VLOOKUP(J20,DATOS!$J$2:$K$5,2,FALSE),"SIN PARO")</f>
        <v>SIN PARO</v>
      </c>
      <c r="L20" s="58"/>
    </row>
    <row r="21" spans="1:12" ht="15.75" thickBot="1" x14ac:dyDescent="0.25">
      <c r="A21" s="19" t="s">
        <v>252</v>
      </c>
      <c r="B21" s="47" t="s">
        <v>257</v>
      </c>
      <c r="C21" s="56"/>
      <c r="D21" s="34" t="str">
        <f>IFERROR(VLOOKUP(C21,DATOS!$E$2:$F$200,2,FALSE),"Sin Datos")</f>
        <v>Sin Datos</v>
      </c>
      <c r="E21" s="56"/>
      <c r="F21" s="40"/>
      <c r="G21" s="40"/>
      <c r="H21" s="40"/>
      <c r="I21" s="43"/>
      <c r="J21" s="62"/>
      <c r="K21" s="34" t="str">
        <f>IFERROR(VLOOKUP(J21,DATOS!$J$2:$K$5,2,FALSE),"SIN PARO")</f>
        <v>SIN PARO</v>
      </c>
      <c r="L21" s="59"/>
    </row>
    <row r="22" spans="1:12" ht="15" x14ac:dyDescent="0.25">
      <c r="A22" s="18" t="s">
        <v>203</v>
      </c>
      <c r="B22" s="46" t="s">
        <v>11</v>
      </c>
      <c r="C22" s="89"/>
      <c r="D22" s="33" t="str">
        <f>IFERROR(VLOOKUP(C22,DATOS!$E$2:$F$200,2,FALSE),"Sin Datos")</f>
        <v>Sin Datos</v>
      </c>
      <c r="E22" s="55"/>
      <c r="F22" s="39"/>
      <c r="G22" s="39"/>
      <c r="H22" s="39"/>
      <c r="I22" s="42"/>
      <c r="J22" s="61"/>
      <c r="K22" s="33" t="str">
        <f>IFERROR(VLOOKUP(J22,DATOS!$J$2:$K$5,2,FALSE),"SIN PARO")</f>
        <v>SIN PARO</v>
      </c>
      <c r="L22" s="58"/>
    </row>
    <row r="23" spans="1:12" ht="15" x14ac:dyDescent="0.25">
      <c r="A23" s="18" t="s">
        <v>203</v>
      </c>
      <c r="B23" s="46" t="s">
        <v>11</v>
      </c>
      <c r="C23" s="89"/>
      <c r="D23" s="33" t="str">
        <f>IFERROR(VLOOKUP(C23,DATOS!$E$2:$F$200,2,FALSE),"Sin Datos")</f>
        <v>Sin Datos</v>
      </c>
      <c r="E23" s="55"/>
      <c r="F23" s="39"/>
      <c r="G23" s="39"/>
      <c r="H23" s="39"/>
      <c r="I23" s="42"/>
      <c r="J23" s="61"/>
      <c r="K23" s="33" t="str">
        <f>IFERROR(VLOOKUP(J23,DATOS!$J$2:$K$5,2,FALSE),"SIN PARO")</f>
        <v>SIN PARO</v>
      </c>
      <c r="L23" s="58"/>
    </row>
    <row r="24" spans="1:12" ht="15" x14ac:dyDescent="0.2">
      <c r="A24" s="18" t="s">
        <v>203</v>
      </c>
      <c r="B24" s="46" t="s">
        <v>12</v>
      </c>
      <c r="C24" s="55"/>
      <c r="D24" s="33" t="str">
        <f>IFERROR(VLOOKUP(C24,DATOS!$E$2:$F$200,2,FALSE),"Sin Datos")</f>
        <v>Sin Datos</v>
      </c>
      <c r="E24" s="55"/>
      <c r="F24" s="39"/>
      <c r="G24" s="39"/>
      <c r="H24" s="39"/>
      <c r="I24" s="42"/>
      <c r="J24" s="61"/>
      <c r="K24" s="33" t="str">
        <f>IFERROR(VLOOKUP(J24,DATOS!$J$2:$K$5,2,FALSE),"SIN PARO")</f>
        <v>SIN PARO</v>
      </c>
      <c r="L24" s="58"/>
    </row>
    <row r="25" spans="1:12" ht="15" x14ac:dyDescent="0.2">
      <c r="A25" s="18" t="s">
        <v>203</v>
      </c>
      <c r="B25" s="46" t="s">
        <v>12</v>
      </c>
      <c r="C25" s="55"/>
      <c r="D25" s="33" t="str">
        <f>IFERROR(VLOOKUP(C25,DATOS!$E$2:$F$200,2,FALSE),"Sin Datos")</f>
        <v>Sin Datos</v>
      </c>
      <c r="E25" s="55"/>
      <c r="F25" s="39"/>
      <c r="G25" s="39"/>
      <c r="H25" s="39"/>
      <c r="I25" s="42"/>
      <c r="J25" s="61"/>
      <c r="K25" s="33" t="str">
        <f>IFERROR(VLOOKUP(J25,DATOS!$J$2:$K$5,2,FALSE),"SIN PARO")</f>
        <v>SIN PARO</v>
      </c>
      <c r="L25" s="58"/>
    </row>
    <row r="26" spans="1:12" ht="15" x14ac:dyDescent="0.25">
      <c r="A26" s="18" t="s">
        <v>203</v>
      </c>
      <c r="B26" s="46" t="s">
        <v>13</v>
      </c>
      <c r="C26" s="89"/>
      <c r="D26" s="33" t="str">
        <f>IFERROR(VLOOKUP(C26,DATOS!$E$2:$F$200,2,FALSE),"Sin Datos")</f>
        <v>Sin Datos</v>
      </c>
      <c r="E26" s="55"/>
      <c r="F26" s="39"/>
      <c r="G26" s="39"/>
      <c r="H26" s="39"/>
      <c r="I26" s="42"/>
      <c r="J26" s="61"/>
      <c r="K26" s="33" t="str">
        <f>IFERROR(VLOOKUP(J26,DATOS!$J$2:$K$5,2,FALSE),"SIN PARO")</f>
        <v>SIN PARO</v>
      </c>
      <c r="L26" s="58"/>
    </row>
    <row r="27" spans="1:12" ht="15" x14ac:dyDescent="0.2">
      <c r="A27" s="18" t="s">
        <v>203</v>
      </c>
      <c r="B27" s="46" t="s">
        <v>13</v>
      </c>
      <c r="C27" s="55"/>
      <c r="D27" s="33" t="str">
        <f>IFERROR(VLOOKUP(C27,DATOS!$E$2:$F$200,2,FALSE),"Sin Datos")</f>
        <v>Sin Datos</v>
      </c>
      <c r="E27" s="55"/>
      <c r="F27" s="39"/>
      <c r="G27" s="39"/>
      <c r="H27" s="39"/>
      <c r="I27" s="42"/>
      <c r="J27" s="61"/>
      <c r="K27" s="33" t="str">
        <f>IFERROR(VLOOKUP(J27,DATOS!$J$2:$K$5,2,FALSE),"SIN PARO")</f>
        <v>SIN PARO</v>
      </c>
      <c r="L27" s="58"/>
    </row>
    <row r="28" spans="1:12" ht="15" x14ac:dyDescent="0.25">
      <c r="A28" s="18" t="s">
        <v>203</v>
      </c>
      <c r="B28" s="46" t="s">
        <v>225</v>
      </c>
      <c r="C28" s="89"/>
      <c r="D28" s="33" t="str">
        <f>IFERROR(VLOOKUP(C28,DATOS!$E$2:$F$200,2,FALSE),"Sin Datos")</f>
        <v>Sin Datos</v>
      </c>
      <c r="E28" s="55"/>
      <c r="F28" s="39"/>
      <c r="G28" s="39"/>
      <c r="H28" s="39"/>
      <c r="I28" s="42"/>
      <c r="J28" s="61"/>
      <c r="K28" s="33" t="str">
        <f>IFERROR(VLOOKUP(J28,DATOS!$J$2:$K$5,2,FALSE),"SIN PARO")</f>
        <v>SIN PARO</v>
      </c>
      <c r="L28" s="58"/>
    </row>
    <row r="29" spans="1:12" ht="15.75" thickBot="1" x14ac:dyDescent="0.25">
      <c r="A29" s="19" t="s">
        <v>203</v>
      </c>
      <c r="B29" s="47" t="s">
        <v>225</v>
      </c>
      <c r="C29" s="56"/>
      <c r="D29" s="34" t="str">
        <f>IFERROR(VLOOKUP(C29,DATOS!$E$2:$F$200,2,FALSE),"Sin Datos")</f>
        <v>Sin Datos</v>
      </c>
      <c r="E29" s="56"/>
      <c r="F29" s="40"/>
      <c r="G29" s="40"/>
      <c r="H29" s="40"/>
      <c r="I29" s="43"/>
      <c r="J29" s="62"/>
      <c r="K29" s="34" t="str">
        <f>IFERROR(VLOOKUP(J29,DATOS!$J$2:$K$5,2,FALSE),"SIN PARO")</f>
        <v>SIN PARO</v>
      </c>
      <c r="L29" s="59"/>
    </row>
    <row r="30" spans="1:12" ht="15" x14ac:dyDescent="0.25">
      <c r="A30" s="18" t="s">
        <v>238</v>
      </c>
      <c r="B30" s="46" t="s">
        <v>238</v>
      </c>
      <c r="C30" s="89"/>
      <c r="D30" s="33" t="str">
        <f>IFERROR(VLOOKUP(C30,DATOS!$E$2:$F$200,2,FALSE),"Sin Datos")</f>
        <v>Sin Datos</v>
      </c>
      <c r="E30" s="55"/>
      <c r="F30" s="39"/>
      <c r="G30" s="39"/>
      <c r="H30" s="39"/>
      <c r="I30" s="42"/>
      <c r="J30" s="61"/>
      <c r="K30" s="33" t="str">
        <f>IFERROR(VLOOKUP(J30,DATOS!$J$2:$K$5,2,FALSE),"SIN PARO")</f>
        <v>SIN PARO</v>
      </c>
      <c r="L30" s="58"/>
    </row>
    <row r="31" spans="1:12" ht="15" x14ac:dyDescent="0.25">
      <c r="A31" s="18" t="s">
        <v>238</v>
      </c>
      <c r="B31" s="46" t="s">
        <v>238</v>
      </c>
      <c r="C31" s="89"/>
      <c r="D31" s="33" t="str">
        <f>IFERROR(VLOOKUP(C31,DATOS!$E$2:$F$200,2,FALSE),"Sin Datos")</f>
        <v>Sin Datos</v>
      </c>
      <c r="E31" s="55"/>
      <c r="F31" s="39"/>
      <c r="G31" s="39"/>
      <c r="H31" s="39"/>
      <c r="I31" s="42"/>
      <c r="J31" s="61"/>
      <c r="K31" s="33" t="str">
        <f>IFERROR(VLOOKUP(J31,DATOS!$J$2:$K$5,2,FALSE),"SIN PARO")</f>
        <v>SIN PARO</v>
      </c>
      <c r="L31" s="58"/>
    </row>
    <row r="32" spans="1:12" ht="15" x14ac:dyDescent="0.2">
      <c r="A32" s="18" t="s">
        <v>238</v>
      </c>
      <c r="B32" s="46" t="s">
        <v>238</v>
      </c>
      <c r="C32" s="55"/>
      <c r="D32" s="33" t="str">
        <f>IFERROR(VLOOKUP(C32,DATOS!$E$2:$F$200,2,FALSE),"Sin Datos")</f>
        <v>Sin Datos</v>
      </c>
      <c r="E32" s="55"/>
      <c r="F32" s="39"/>
      <c r="G32" s="39"/>
      <c r="H32" s="39"/>
      <c r="I32" s="42"/>
      <c r="J32" s="61"/>
      <c r="K32" s="33" t="str">
        <f>IFERROR(VLOOKUP(J32,DATOS!$J$2:$K$5,2,FALSE),"SIN PARO")</f>
        <v>SIN PARO</v>
      </c>
      <c r="L32" s="58"/>
    </row>
    <row r="33" spans="1:12" ht="15" x14ac:dyDescent="0.2">
      <c r="A33" s="18" t="s">
        <v>238</v>
      </c>
      <c r="B33" s="46" t="s">
        <v>238</v>
      </c>
      <c r="C33" s="55"/>
      <c r="D33" s="33" t="str">
        <f>IFERROR(VLOOKUP(C33,DATOS!$E$2:$F$200,2,FALSE),"Sin Datos")</f>
        <v>Sin Datos</v>
      </c>
      <c r="E33" s="55"/>
      <c r="F33" s="39"/>
      <c r="G33" s="39"/>
      <c r="H33" s="39"/>
      <c r="I33" s="42"/>
      <c r="J33" s="61"/>
      <c r="K33" s="33" t="str">
        <f>IFERROR(VLOOKUP(J33,DATOS!$J$2:$K$5,2,FALSE),"SIN PARO")</f>
        <v>SIN PARO</v>
      </c>
      <c r="L33" s="58"/>
    </row>
    <row r="34" spans="1:12" ht="15" x14ac:dyDescent="0.2">
      <c r="A34" s="18" t="s">
        <v>238</v>
      </c>
      <c r="B34" s="46" t="s">
        <v>238</v>
      </c>
      <c r="C34" s="55"/>
      <c r="D34" s="33" t="str">
        <f>IFERROR(VLOOKUP(C34,DATOS!$E$2:$F$200,2,FALSE),"Sin Datos")</f>
        <v>Sin Datos</v>
      </c>
      <c r="E34" s="55"/>
      <c r="F34" s="39"/>
      <c r="G34" s="39"/>
      <c r="H34" s="39"/>
      <c r="I34" s="42"/>
      <c r="J34" s="61"/>
      <c r="K34" s="33" t="str">
        <f>IFERROR(VLOOKUP(J34,DATOS!$J$2:$K$5,2,FALSE),"SIN PARO")</f>
        <v>SIN PARO</v>
      </c>
      <c r="L34" s="58"/>
    </row>
    <row r="35" spans="1:12" ht="15" x14ac:dyDescent="0.2">
      <c r="A35" s="18" t="s">
        <v>238</v>
      </c>
      <c r="B35" s="46" t="s">
        <v>238</v>
      </c>
      <c r="C35" s="55"/>
      <c r="D35" s="33" t="str">
        <f>IFERROR(VLOOKUP(C35,DATOS!$E$2:$F$200,2,FALSE),"Sin Datos")</f>
        <v>Sin Datos</v>
      </c>
      <c r="E35" s="55"/>
      <c r="F35" s="39"/>
      <c r="G35" s="39"/>
      <c r="H35" s="39"/>
      <c r="I35" s="42"/>
      <c r="J35" s="61"/>
      <c r="K35" s="33" t="str">
        <f>IFERROR(VLOOKUP(J35,DATOS!$J$2:$K$5,2,FALSE),"SIN PARO")</f>
        <v>SIN PARO</v>
      </c>
      <c r="L35" s="58"/>
    </row>
    <row r="36" spans="1:12" ht="15" x14ac:dyDescent="0.2">
      <c r="A36" s="18" t="s">
        <v>238</v>
      </c>
      <c r="B36" s="46" t="s">
        <v>238</v>
      </c>
      <c r="C36" s="55"/>
      <c r="D36" s="33" t="str">
        <f>IFERROR(VLOOKUP(C36,DATOS!$E$2:$F$200,2,FALSE),"Sin Datos")</f>
        <v>Sin Datos</v>
      </c>
      <c r="E36" s="55"/>
      <c r="F36" s="39"/>
      <c r="G36" s="39"/>
      <c r="H36" s="39"/>
      <c r="I36" s="42"/>
      <c r="J36" s="61"/>
      <c r="K36" s="33" t="str">
        <f>IFERROR(VLOOKUP(J36,DATOS!$J$2:$K$5,2,FALSE),"SIN PARO")</f>
        <v>SIN PARO</v>
      </c>
      <c r="L36" s="58"/>
    </row>
    <row r="37" spans="1:12" ht="15" x14ac:dyDescent="0.2">
      <c r="A37" s="18" t="s">
        <v>238</v>
      </c>
      <c r="B37" s="46" t="s">
        <v>238</v>
      </c>
      <c r="C37" s="55"/>
      <c r="D37" s="33" t="str">
        <f>IFERROR(VLOOKUP(C37,DATOS!$E$2:$F$200,2,FALSE),"Sin Datos")</f>
        <v>Sin Datos</v>
      </c>
      <c r="E37" s="55"/>
      <c r="F37" s="39"/>
      <c r="G37" s="39"/>
      <c r="H37" s="39"/>
      <c r="I37" s="42"/>
      <c r="J37" s="61"/>
      <c r="K37" s="33" t="str">
        <f>IFERROR(VLOOKUP(J37,DATOS!$J$2:$K$5,2,FALSE),"SIN PARO")</f>
        <v>SIN PARO</v>
      </c>
      <c r="L37" s="58"/>
    </row>
    <row r="38" spans="1:12" ht="15.75" thickBot="1" x14ac:dyDescent="0.25">
      <c r="A38" s="18" t="s">
        <v>238</v>
      </c>
      <c r="B38" s="46" t="s">
        <v>238</v>
      </c>
      <c r="C38" s="55"/>
      <c r="D38" s="33" t="str">
        <f>IFERROR(VLOOKUP(C38,DATOS!$E$2:$F$200,2,FALSE),"Sin Datos")</f>
        <v>Sin Datos</v>
      </c>
      <c r="E38" s="55"/>
      <c r="F38" s="39"/>
      <c r="G38" s="39"/>
      <c r="H38" s="39"/>
      <c r="I38" s="42"/>
      <c r="J38" s="61"/>
      <c r="K38" s="33" t="str">
        <f>IFERROR(VLOOKUP(J38,DATOS!$J$2:$K$5,2,FALSE),"SIN PARO")</f>
        <v>SIN PARO</v>
      </c>
      <c r="L38" s="58"/>
    </row>
    <row r="39" spans="1:12" ht="15" x14ac:dyDescent="0.25">
      <c r="A39" s="17" t="s">
        <v>239</v>
      </c>
      <c r="B39" s="45" t="s">
        <v>240</v>
      </c>
      <c r="C39" s="89"/>
      <c r="D39" s="32" t="str">
        <f>IFERROR(VLOOKUP(C39,DATOS!$E$2:$F$200,2,FALSE),"Sin Datos")</f>
        <v>Sin Datos</v>
      </c>
      <c r="E39" s="54"/>
      <c r="F39" s="38"/>
      <c r="G39" s="38"/>
      <c r="H39" s="38"/>
      <c r="I39" s="41"/>
      <c r="J39" s="60"/>
      <c r="K39" s="32" t="str">
        <f>IFERROR(VLOOKUP(J39,DATOS!$J$2:$K$5,2,FALSE),"SIN PARO")</f>
        <v>SIN PARO</v>
      </c>
      <c r="L39" s="57"/>
    </row>
    <row r="40" spans="1:12" ht="15" x14ac:dyDescent="0.2">
      <c r="A40" s="18" t="s">
        <v>239</v>
      </c>
      <c r="B40" s="46" t="s">
        <v>240</v>
      </c>
      <c r="C40" s="55"/>
      <c r="D40" s="33" t="str">
        <f>IFERROR(VLOOKUP(C40,DATOS!$E$2:$F$200,2,FALSE),"Sin Datos")</f>
        <v>Sin Datos</v>
      </c>
      <c r="E40" s="55"/>
      <c r="F40" s="39"/>
      <c r="G40" s="39"/>
      <c r="H40" s="39"/>
      <c r="I40" s="42"/>
      <c r="J40" s="61"/>
      <c r="K40" s="33" t="str">
        <f>IFERROR(VLOOKUP(J40,DATOS!$J$2:$K$5,2,FALSE),"SIN PARO")</f>
        <v>SIN PARO</v>
      </c>
      <c r="L40" s="58"/>
    </row>
    <row r="41" spans="1:12" ht="15" x14ac:dyDescent="0.25">
      <c r="A41" s="18" t="s">
        <v>239</v>
      </c>
      <c r="B41" s="46" t="s">
        <v>241</v>
      </c>
      <c r="C41" s="89"/>
      <c r="D41" s="33" t="str">
        <f>IFERROR(VLOOKUP(C41,DATOS!$E$2:$F$200,2,FALSE),"Sin Datos")</f>
        <v>Sin Datos</v>
      </c>
      <c r="E41" s="55"/>
      <c r="F41" s="39"/>
      <c r="G41" s="39"/>
      <c r="H41" s="39"/>
      <c r="I41" s="42"/>
      <c r="J41" s="61"/>
      <c r="K41" s="33" t="str">
        <f>IFERROR(VLOOKUP(J41,DATOS!$J$2:$K$5,2,FALSE),"SIN PARO")</f>
        <v>SIN PARO</v>
      </c>
      <c r="L41" s="58"/>
    </row>
    <row r="42" spans="1:12" ht="15" x14ac:dyDescent="0.25">
      <c r="A42" s="18" t="s">
        <v>239</v>
      </c>
      <c r="B42" s="46" t="s">
        <v>241</v>
      </c>
      <c r="C42" s="89"/>
      <c r="D42" s="33" t="str">
        <f>IFERROR(VLOOKUP(C42,DATOS!$E$2:$F$200,2,FALSE),"Sin Datos")</f>
        <v>Sin Datos</v>
      </c>
      <c r="E42" s="55"/>
      <c r="F42" s="39"/>
      <c r="G42" s="39"/>
      <c r="H42" s="39"/>
      <c r="I42" s="42"/>
      <c r="J42" s="61"/>
      <c r="K42" s="33" t="str">
        <f>IFERROR(VLOOKUP(J42,DATOS!$J$2:$K$5,2,FALSE),"SIN PARO")</f>
        <v>SIN PARO</v>
      </c>
      <c r="L42" s="58"/>
    </row>
    <row r="43" spans="1:12" ht="15.75" thickBot="1" x14ac:dyDescent="0.25">
      <c r="A43" s="19" t="s">
        <v>239</v>
      </c>
      <c r="B43" s="47" t="s">
        <v>241</v>
      </c>
      <c r="C43" s="56"/>
      <c r="D43" s="34" t="str">
        <f>IFERROR(VLOOKUP(C43,DATOS!$E$2:$F$200,2,FALSE),"Sin Datos")</f>
        <v>Sin Datos</v>
      </c>
      <c r="E43" s="37"/>
      <c r="F43" s="40"/>
      <c r="G43" s="40"/>
      <c r="H43" s="40"/>
      <c r="I43" s="43"/>
      <c r="J43" s="31"/>
      <c r="K43" s="34" t="str">
        <f>IFERROR(VLOOKUP(J43,DATOS!$J$2:$K$5,2,FALSE),"SIN PARO")</f>
        <v>SIN PARO</v>
      </c>
      <c r="L43" s="59"/>
    </row>
    <row r="44" spans="1:12" ht="15" x14ac:dyDescent="0.25">
      <c r="A44" s="18" t="s">
        <v>239</v>
      </c>
      <c r="B44" s="46" t="s">
        <v>243</v>
      </c>
      <c r="C44" s="89"/>
      <c r="D44" s="33" t="str">
        <f>IFERROR(VLOOKUP(C44,DATOS!$E$2:$F$200,2,FALSE),"Sin Datos")</f>
        <v>Sin Datos</v>
      </c>
      <c r="E44" s="55"/>
      <c r="F44" s="39"/>
      <c r="G44" s="39"/>
      <c r="H44" s="39"/>
      <c r="I44" s="51"/>
      <c r="J44" s="61"/>
      <c r="K44" s="33" t="str">
        <f>IFERROR(VLOOKUP(J44,DATOS!$J$2:$K$5,2,FALSE),"SIN PARO")</f>
        <v>SIN PARO</v>
      </c>
      <c r="L44" s="58"/>
    </row>
    <row r="45" spans="1:12" ht="15" x14ac:dyDescent="0.25">
      <c r="A45" s="18" t="s">
        <v>239</v>
      </c>
      <c r="B45" s="46" t="s">
        <v>242</v>
      </c>
      <c r="C45" s="89"/>
      <c r="D45" s="33" t="str">
        <f>IFERROR(VLOOKUP(C45,DATOS!$E$2:$F$200,2,FALSE),"Sin Datos")</f>
        <v>Sin Datos</v>
      </c>
      <c r="E45" s="55"/>
      <c r="F45" s="39"/>
      <c r="G45" s="39"/>
      <c r="H45" s="39"/>
      <c r="I45" s="42"/>
      <c r="J45" s="61"/>
      <c r="K45" s="33" t="str">
        <f>IFERROR(VLOOKUP(J45,DATOS!$J$2:$K$5,2,FALSE),"SIN PARO")</f>
        <v>SIN PARO</v>
      </c>
      <c r="L45" s="58"/>
    </row>
    <row r="46" spans="1:12" ht="15" x14ac:dyDescent="0.25">
      <c r="A46" s="18" t="s">
        <v>239</v>
      </c>
      <c r="B46" s="46" t="s">
        <v>242</v>
      </c>
      <c r="C46" s="89"/>
      <c r="D46" s="33" t="str">
        <f>IFERROR(VLOOKUP(C46,DATOS!$E$2:$F$200,2,FALSE),"Sin Datos")</f>
        <v>Sin Datos</v>
      </c>
      <c r="E46" s="55"/>
      <c r="F46" s="39"/>
      <c r="G46" s="39"/>
      <c r="H46" s="39"/>
      <c r="I46" s="42"/>
      <c r="J46" s="61"/>
      <c r="K46" s="33" t="str">
        <f>IFERROR(VLOOKUP(J46,DATOS!$J$2:$K$5,2,FALSE),"SIN PARO")</f>
        <v>SIN PARO</v>
      </c>
      <c r="L46" s="58"/>
    </row>
    <row r="47" spans="1:12" ht="15" x14ac:dyDescent="0.25">
      <c r="A47" s="18" t="s">
        <v>239</v>
      </c>
      <c r="B47" s="46" t="s">
        <v>242</v>
      </c>
      <c r="C47" s="89"/>
      <c r="D47" s="33" t="str">
        <f>IFERROR(VLOOKUP(C47,DATOS!$E$2:$F$200,2,FALSE),"Sin Datos")</f>
        <v>Sin Datos</v>
      </c>
      <c r="E47" s="55"/>
      <c r="F47" s="39"/>
      <c r="G47" s="39"/>
      <c r="H47" s="39"/>
      <c r="I47" s="42"/>
      <c r="J47" s="61"/>
      <c r="K47" s="33" t="str">
        <f>IFERROR(VLOOKUP(J47,DATOS!$J$2:$K$5,2,FALSE),"SIN PARO")</f>
        <v>SIN PARO</v>
      </c>
      <c r="L47" s="58"/>
    </row>
    <row r="48" spans="1:12" ht="15.75" thickBot="1" x14ac:dyDescent="0.25">
      <c r="A48" s="19" t="s">
        <v>239</v>
      </c>
      <c r="B48" s="47" t="s">
        <v>242</v>
      </c>
      <c r="C48" s="56"/>
      <c r="D48" s="34" t="str">
        <f>IFERROR(VLOOKUP(C48,DATOS!$E$2:$F$200,2,FALSE),"Sin Datos")</f>
        <v>Sin Datos</v>
      </c>
      <c r="E48" s="36"/>
      <c r="F48" s="40"/>
      <c r="G48" s="40"/>
      <c r="H48" s="40"/>
      <c r="I48" s="43"/>
      <c r="J48" s="31"/>
      <c r="K48" s="34" t="str">
        <f>IFERROR(VLOOKUP(J48,DATOS!$J$2:$K$5,2,FALSE),"SIN PARO")</f>
        <v>SIN PARO</v>
      </c>
      <c r="L48" s="59"/>
    </row>
    <row r="49" spans="1:12" ht="15" x14ac:dyDescent="0.2">
      <c r="A49" s="17" t="s">
        <v>239</v>
      </c>
      <c r="B49" s="45" t="s">
        <v>243</v>
      </c>
      <c r="C49" s="54"/>
      <c r="D49" s="32" t="str">
        <f>IFERROR(VLOOKUP(C49,DATOS!$E$2:$F$200,2,FALSE),"Sin Datos")</f>
        <v>Sin Datos</v>
      </c>
      <c r="E49" s="35"/>
      <c r="F49" s="38"/>
      <c r="G49" s="38"/>
      <c r="H49" s="38"/>
      <c r="I49" s="41"/>
      <c r="J49" s="29"/>
      <c r="K49" s="32" t="str">
        <f>IFERROR(VLOOKUP(J49,DATOS!$J$2:$K$5,2,FALSE),"SIN PARO")</f>
        <v>SIN PARO</v>
      </c>
      <c r="L49" s="57"/>
    </row>
    <row r="50" spans="1:12" ht="15" x14ac:dyDescent="0.2">
      <c r="A50" s="18" t="s">
        <v>239</v>
      </c>
      <c r="B50" s="46" t="s">
        <v>242</v>
      </c>
      <c r="C50" s="55"/>
      <c r="D50" s="33" t="str">
        <f>IFERROR(VLOOKUP(C50,DATOS!$E$2:$F$200,2,FALSE),"Sin Datos")</f>
        <v>Sin Datos</v>
      </c>
      <c r="E50" s="36"/>
      <c r="F50" s="39"/>
      <c r="G50" s="39"/>
      <c r="H50" s="39"/>
      <c r="I50" s="42"/>
      <c r="J50" s="30"/>
      <c r="K50" s="33" t="str">
        <f>IFERROR(VLOOKUP(J50,DATOS!$J$2:$K$5,2,FALSE),"SIN PARO")</f>
        <v>SIN PARO</v>
      </c>
      <c r="L50" s="58"/>
    </row>
    <row r="51" spans="1:12" ht="15" x14ac:dyDescent="0.2">
      <c r="A51" s="18" t="s">
        <v>239</v>
      </c>
      <c r="B51" s="46" t="s">
        <v>242</v>
      </c>
      <c r="C51" s="55"/>
      <c r="D51" s="33" t="str">
        <f>IFERROR(VLOOKUP(C51,DATOS!$E$2:$F$200,2,FALSE),"Sin Datos")</f>
        <v>Sin Datos</v>
      </c>
      <c r="E51" s="36"/>
      <c r="F51" s="39"/>
      <c r="G51" s="39"/>
      <c r="H51" s="39"/>
      <c r="I51" s="42"/>
      <c r="J51" s="30"/>
      <c r="K51" s="33" t="str">
        <f>IFERROR(VLOOKUP(J51,DATOS!$J$2:$K$5,2,FALSE),"SIN PARO")</f>
        <v>SIN PARO</v>
      </c>
      <c r="L51" s="58"/>
    </row>
    <row r="52" spans="1:12" ht="15" x14ac:dyDescent="0.2">
      <c r="A52" s="18" t="s">
        <v>239</v>
      </c>
      <c r="B52" s="46" t="s">
        <v>242</v>
      </c>
      <c r="C52" s="55"/>
      <c r="D52" s="33" t="str">
        <f>IFERROR(VLOOKUP(C52,DATOS!$E$2:$F$200,2,FALSE),"Sin Datos")</f>
        <v>Sin Datos</v>
      </c>
      <c r="E52" s="36"/>
      <c r="F52" s="39"/>
      <c r="G52" s="39"/>
      <c r="H52" s="39"/>
      <c r="I52" s="42"/>
      <c r="J52" s="30"/>
      <c r="K52" s="33" t="str">
        <f>IFERROR(VLOOKUP(J52,DATOS!$J$2:$K$5,2,FALSE),"SIN PARO")</f>
        <v>SIN PARO</v>
      </c>
      <c r="L52" s="58"/>
    </row>
    <row r="53" spans="1:12" ht="15.75" thickBot="1" x14ac:dyDescent="0.25">
      <c r="A53" s="19" t="s">
        <v>239</v>
      </c>
      <c r="B53" s="47" t="s">
        <v>242</v>
      </c>
      <c r="C53" s="56"/>
      <c r="D53" s="34" t="str">
        <f>IFERROR(VLOOKUP(C53,DATOS!$E$2:$F$200,2,FALSE),"Sin Datos")</f>
        <v>Sin Datos</v>
      </c>
      <c r="E53" s="37"/>
      <c r="F53" s="40"/>
      <c r="G53" s="40"/>
      <c r="H53" s="40"/>
      <c r="I53" s="43"/>
      <c r="J53" s="31"/>
      <c r="K53" s="34" t="str">
        <f>IFERROR(VLOOKUP(J53,DATOS!$J$2:$K$5,2,FALSE),"SIN PARO")</f>
        <v>SIN PARO</v>
      </c>
      <c r="L53" s="59"/>
    </row>
    <row r="54" spans="1:12" ht="15" x14ac:dyDescent="0.25">
      <c r="A54" s="17" t="s">
        <v>239</v>
      </c>
      <c r="B54" s="45" t="s">
        <v>244</v>
      </c>
      <c r="C54" s="89"/>
      <c r="D54" s="32" t="str">
        <f>IFERROR(VLOOKUP(C54,DATOS!$E$2:$F$200,2,FALSE),"Sin Datos")</f>
        <v>Sin Datos</v>
      </c>
      <c r="E54" s="55"/>
      <c r="F54" s="38"/>
      <c r="G54" s="38"/>
      <c r="H54" s="38"/>
      <c r="I54" s="41"/>
      <c r="J54" s="60"/>
      <c r="K54" s="32" t="str">
        <f>IFERROR(VLOOKUP(J54,DATOS!$J$2:$K$5,2,FALSE),"SIN PARO")</f>
        <v>SIN PARO</v>
      </c>
      <c r="L54" s="57"/>
    </row>
    <row r="55" spans="1:12" ht="15" x14ac:dyDescent="0.25">
      <c r="A55" s="18" t="s">
        <v>239</v>
      </c>
      <c r="B55" s="46" t="s">
        <v>245</v>
      </c>
      <c r="C55" s="89"/>
      <c r="D55" s="33" t="str">
        <f>IFERROR(VLOOKUP(C55,DATOS!$E$2:$F$200,2,FALSE),"Sin Datos")</f>
        <v>Sin Datos</v>
      </c>
      <c r="E55" s="55"/>
      <c r="F55" s="39"/>
      <c r="G55" s="39"/>
      <c r="H55" s="39"/>
      <c r="I55" s="42"/>
      <c r="J55" s="61"/>
      <c r="K55" s="33" t="str">
        <f>IFERROR(VLOOKUP(J55,DATOS!$J$2:$K$5,2,FALSE),"SIN PARO")</f>
        <v>SIN PARO</v>
      </c>
      <c r="L55" s="58"/>
    </row>
    <row r="56" spans="1:12" ht="15" x14ac:dyDescent="0.25">
      <c r="A56" s="18" t="s">
        <v>239</v>
      </c>
      <c r="B56" s="46" t="s">
        <v>245</v>
      </c>
      <c r="C56" s="89"/>
      <c r="D56" s="33" t="str">
        <f>IFERROR(VLOOKUP(C56,DATOS!$E$2:$F$200,2,FALSE),"Sin Datos")</f>
        <v>Sin Datos</v>
      </c>
      <c r="E56" s="55"/>
      <c r="F56" s="39"/>
      <c r="G56" s="39"/>
      <c r="H56" s="39"/>
      <c r="I56" s="42"/>
      <c r="J56" s="61"/>
      <c r="K56" s="33" t="str">
        <f>IFERROR(VLOOKUP(J56,DATOS!$J$2:$K$5,2,FALSE),"SIN PARO")</f>
        <v>SIN PARO</v>
      </c>
      <c r="L56" s="58"/>
    </row>
    <row r="57" spans="1:12" ht="15" x14ac:dyDescent="0.2">
      <c r="A57" s="18" t="s">
        <v>239</v>
      </c>
      <c r="B57" s="46" t="s">
        <v>245</v>
      </c>
      <c r="C57" s="55"/>
      <c r="D57" s="33" t="str">
        <f>IFERROR(VLOOKUP(C57,DATOS!$E$2:$F$200,2,FALSE),"Sin Datos")</f>
        <v>Sin Datos</v>
      </c>
      <c r="E57" s="36"/>
      <c r="F57" s="39"/>
      <c r="G57" s="39"/>
      <c r="H57" s="39"/>
      <c r="I57" s="42"/>
      <c r="J57" s="30"/>
      <c r="K57" s="33" t="str">
        <f>IFERROR(VLOOKUP(J57,DATOS!$J$2:$K$5,2,FALSE),"SIN PARO")</f>
        <v>SIN PARO</v>
      </c>
      <c r="L57" s="58"/>
    </row>
    <row r="58" spans="1:12" ht="15.75" thickBot="1" x14ac:dyDescent="0.25">
      <c r="A58" s="19" t="s">
        <v>239</v>
      </c>
      <c r="B58" s="47" t="s">
        <v>245</v>
      </c>
      <c r="C58" s="56"/>
      <c r="D58" s="34" t="str">
        <f>IFERROR(VLOOKUP(C58,DATOS!$E$2:$F$200,2,FALSE),"Sin Datos")</f>
        <v>Sin Datos</v>
      </c>
      <c r="E58" s="37"/>
      <c r="F58" s="40"/>
      <c r="G58" s="40"/>
      <c r="H58" s="40"/>
      <c r="I58" s="43"/>
      <c r="J58" s="31"/>
      <c r="K58" s="34" t="str">
        <f>IFERROR(VLOOKUP(J58,DATOS!$J$2:$K$5,2,FALSE),"SIN PARO")</f>
        <v>SIN PARO</v>
      </c>
      <c r="L58" s="59"/>
    </row>
    <row r="59" spans="1:12" ht="15" x14ac:dyDescent="0.2">
      <c r="A59" s="17" t="s">
        <v>239</v>
      </c>
      <c r="B59" s="45" t="s">
        <v>246</v>
      </c>
      <c r="C59" s="54"/>
      <c r="D59" s="32" t="str">
        <f>IFERROR(VLOOKUP(C59,DATOS!$E$2:$F$200,2,FALSE),"Sin Datos")</f>
        <v>Sin Datos</v>
      </c>
      <c r="E59" s="35"/>
      <c r="F59" s="38"/>
      <c r="G59" s="38"/>
      <c r="H59" s="38"/>
      <c r="I59" s="41"/>
      <c r="J59" s="29"/>
      <c r="K59" s="32" t="str">
        <f>IFERROR(VLOOKUP(J59,DATOS!$J$2:$K$5,2,FALSE),"SIN PARO")</f>
        <v>SIN PARO</v>
      </c>
      <c r="L59" s="57"/>
    </row>
    <row r="60" spans="1:12" ht="15" x14ac:dyDescent="0.2">
      <c r="A60" s="18" t="s">
        <v>239</v>
      </c>
      <c r="B60" s="46" t="s">
        <v>247</v>
      </c>
      <c r="C60" s="55"/>
      <c r="D60" s="33" t="str">
        <f>IFERROR(VLOOKUP(C60,DATOS!$E$2:$F$200,2,FALSE),"Sin Datos")</f>
        <v>Sin Datos</v>
      </c>
      <c r="E60" s="36"/>
      <c r="F60" s="39"/>
      <c r="G60" s="39"/>
      <c r="H60" s="39"/>
      <c r="I60" s="42"/>
      <c r="J60" s="30"/>
      <c r="K60" s="33" t="str">
        <f>IFERROR(VLOOKUP(J60,DATOS!$J$2:$K$5,2,FALSE),"SIN PARO")</f>
        <v>SIN PARO</v>
      </c>
      <c r="L60" s="58"/>
    </row>
    <row r="61" spans="1:12" ht="15" x14ac:dyDescent="0.2">
      <c r="A61" s="18" t="s">
        <v>239</v>
      </c>
      <c r="B61" s="46" t="s">
        <v>247</v>
      </c>
      <c r="C61" s="55"/>
      <c r="D61" s="33" t="str">
        <f>IFERROR(VLOOKUP(C61,DATOS!$E$2:$F$200,2,FALSE),"Sin Datos")</f>
        <v>Sin Datos</v>
      </c>
      <c r="E61" s="36"/>
      <c r="F61" s="39"/>
      <c r="G61" s="39"/>
      <c r="H61" s="39"/>
      <c r="I61" s="42"/>
      <c r="J61" s="30"/>
      <c r="K61" s="33" t="str">
        <f>IFERROR(VLOOKUP(J61,DATOS!$J$2:$K$5,2,FALSE),"SIN PARO")</f>
        <v>SIN PARO</v>
      </c>
      <c r="L61" s="58"/>
    </row>
    <row r="62" spans="1:12" ht="15" x14ac:dyDescent="0.2">
      <c r="A62" s="18" t="s">
        <v>239</v>
      </c>
      <c r="B62" s="46" t="s">
        <v>247</v>
      </c>
      <c r="C62" s="55"/>
      <c r="D62" s="33" t="str">
        <f>IFERROR(VLOOKUP(C62,DATOS!$E$2:$F$200,2,FALSE),"Sin Datos")</f>
        <v>Sin Datos</v>
      </c>
      <c r="E62" s="36"/>
      <c r="F62" s="39"/>
      <c r="G62" s="39"/>
      <c r="H62" s="39"/>
      <c r="I62" s="42"/>
      <c r="J62" s="30"/>
      <c r="K62" s="33" t="str">
        <f>IFERROR(VLOOKUP(J62,DATOS!$J$2:$K$5,2,FALSE),"SIN PARO")</f>
        <v>SIN PARO</v>
      </c>
      <c r="L62" s="58"/>
    </row>
    <row r="63" spans="1:12" ht="15.75" thickBot="1" x14ac:dyDescent="0.25">
      <c r="A63" s="19" t="s">
        <v>239</v>
      </c>
      <c r="B63" s="47" t="s">
        <v>247</v>
      </c>
      <c r="C63" s="56"/>
      <c r="D63" s="34" t="str">
        <f>IFERROR(VLOOKUP(C63,DATOS!$E$2:$F$200,2,FALSE),"Sin Datos")</f>
        <v>Sin Datos</v>
      </c>
      <c r="E63" s="37"/>
      <c r="F63" s="40"/>
      <c r="G63" s="40"/>
      <c r="H63" s="40"/>
      <c r="I63" s="43"/>
      <c r="J63" s="31"/>
      <c r="K63" s="34" t="str">
        <f>IFERROR(VLOOKUP(J63,DATOS!$J$2:$K$5,2,FALSE),"SIN PARO")</f>
        <v>SIN PARO</v>
      </c>
      <c r="L63" s="59"/>
    </row>
    <row r="64" spans="1:12" ht="16.5" customHeight="1" x14ac:dyDescent="0.25">
      <c r="A64" s="17" t="s">
        <v>248</v>
      </c>
      <c r="B64" s="45" t="s">
        <v>255</v>
      </c>
      <c r="C64" s="89"/>
      <c r="D64" s="32" t="str">
        <f>IFERROR(VLOOKUP(C64,DATOS!$E$2:$F$200,2,FALSE),"Sin Datos")</f>
        <v>Sin Datos</v>
      </c>
      <c r="E64" s="54"/>
      <c r="F64" s="38"/>
      <c r="G64" s="38"/>
      <c r="H64" s="38"/>
      <c r="I64" s="41"/>
      <c r="J64" s="60"/>
      <c r="K64" s="32" t="str">
        <f>IFERROR(VLOOKUP(J64,DATOS!$J$2:$K$5,2,FALSE),"SIN PARO")</f>
        <v>SIN PARO</v>
      </c>
      <c r="L64" s="57"/>
    </row>
    <row r="65" spans="1:12" ht="16.5" customHeight="1" thickBot="1" x14ac:dyDescent="0.25">
      <c r="A65" s="19" t="s">
        <v>248</v>
      </c>
      <c r="B65" s="47" t="s">
        <v>255</v>
      </c>
      <c r="C65" s="56"/>
      <c r="D65" s="34" t="str">
        <f>IFERROR(VLOOKUP(C65,DATOS!$E$2:$F$200,2,FALSE),"Sin Datos")</f>
        <v>Sin Datos</v>
      </c>
      <c r="E65" s="56"/>
      <c r="F65" s="40"/>
      <c r="G65" s="40"/>
      <c r="H65" s="40"/>
      <c r="I65" s="43"/>
      <c r="J65" s="62"/>
      <c r="K65" s="34" t="str">
        <f>IFERROR(VLOOKUP(J65,DATOS!$J$2:$K$5,2,FALSE),"SIN PARO")</f>
        <v>SIN PARO</v>
      </c>
      <c r="L65" s="59"/>
    </row>
    <row r="66" spans="1:12" ht="16.5" customHeight="1" x14ac:dyDescent="0.25">
      <c r="A66" s="18" t="s">
        <v>249</v>
      </c>
      <c r="B66" s="46" t="s">
        <v>255</v>
      </c>
      <c r="C66" s="89"/>
      <c r="D66" s="33" t="str">
        <f>IFERROR(VLOOKUP(C66,DATOS!$E$2:$F$200,2,FALSE),"Sin Datos")</f>
        <v>Sin Datos</v>
      </c>
      <c r="E66" s="55"/>
      <c r="F66" s="39"/>
      <c r="G66" s="39"/>
      <c r="H66" s="39"/>
      <c r="I66" s="42"/>
      <c r="J66" s="61"/>
      <c r="K66" s="33" t="str">
        <f>IFERROR(VLOOKUP(J66,DATOS!$J$2:$K$5,2,FALSE),"SIN PARO")</f>
        <v>SIN PARO</v>
      </c>
      <c r="L66" s="58"/>
    </row>
    <row r="67" spans="1:12" ht="16.5" customHeight="1" x14ac:dyDescent="0.25">
      <c r="A67" s="18" t="s">
        <v>249</v>
      </c>
      <c r="B67" s="46" t="s">
        <v>255</v>
      </c>
      <c r="C67" s="89"/>
      <c r="D67" s="33" t="str">
        <f>IFERROR(VLOOKUP(C67,DATOS!$E$2:$F$200,2,FALSE),"Sin Datos")</f>
        <v>Sin Datos</v>
      </c>
      <c r="E67" s="55"/>
      <c r="F67" s="39"/>
      <c r="G67" s="39"/>
      <c r="H67" s="39"/>
      <c r="I67" s="42"/>
      <c r="J67" s="61"/>
      <c r="K67" s="33" t="str">
        <f>IFERROR(VLOOKUP(J67,DATOS!$J$2:$K$5,2,FALSE),"SIN PARO")</f>
        <v>SIN PARO</v>
      </c>
      <c r="L67" s="58"/>
    </row>
    <row r="68" spans="1:12" ht="16.5" customHeight="1" x14ac:dyDescent="0.2">
      <c r="A68" s="18" t="s">
        <v>249</v>
      </c>
      <c r="B68" s="46" t="s">
        <v>255</v>
      </c>
      <c r="C68" s="55"/>
      <c r="D68" s="33" t="str">
        <f>IFERROR(VLOOKUP(C68,DATOS!$E$2:$F$200,2,FALSE),"Sin Datos")</f>
        <v>Sin Datos</v>
      </c>
      <c r="E68" s="55"/>
      <c r="F68" s="39"/>
      <c r="G68" s="39"/>
      <c r="H68" s="39"/>
      <c r="I68" s="42"/>
      <c r="J68" s="61"/>
      <c r="K68" s="33" t="str">
        <f>IFERROR(VLOOKUP(J68,DATOS!$J$2:$K$5,2,FALSE),"SIN PARO")</f>
        <v>SIN PARO</v>
      </c>
      <c r="L68" s="58"/>
    </row>
    <row r="69" spans="1:12" ht="16.5" customHeight="1" x14ac:dyDescent="0.2">
      <c r="A69" s="18" t="s">
        <v>249</v>
      </c>
      <c r="B69" s="46" t="s">
        <v>255</v>
      </c>
      <c r="C69" s="55"/>
      <c r="D69" s="33" t="str">
        <f>IFERROR(VLOOKUP(C69,DATOS!$E$2:$F$200,2,FALSE),"Sin Datos")</f>
        <v>Sin Datos</v>
      </c>
      <c r="E69" s="55"/>
      <c r="F69" s="39"/>
      <c r="G69" s="39"/>
      <c r="H69" s="39"/>
      <c r="I69" s="42"/>
      <c r="J69" s="61"/>
      <c r="K69" s="33" t="str">
        <f>IFERROR(VLOOKUP(J69,DATOS!$J$2:$K$5,2,FALSE),"SIN PARO")</f>
        <v>SIN PARO</v>
      </c>
      <c r="L69" s="58"/>
    </row>
    <row r="70" spans="1:12" ht="16.5" customHeight="1" x14ac:dyDescent="0.2">
      <c r="A70" s="18" t="s">
        <v>249</v>
      </c>
      <c r="B70" s="46" t="s">
        <v>255</v>
      </c>
      <c r="C70" s="55"/>
      <c r="D70" s="33" t="str">
        <f>IFERROR(VLOOKUP(C70,DATOS!$E$2:$F$200,2,FALSE),"Sin Datos")</f>
        <v>Sin Datos</v>
      </c>
      <c r="E70" s="55"/>
      <c r="F70" s="39"/>
      <c r="G70" s="39"/>
      <c r="H70" s="39"/>
      <c r="I70" s="42"/>
      <c r="J70" s="61"/>
      <c r="K70" s="33" t="str">
        <f>IFERROR(VLOOKUP(J70,DATOS!$J$2:$K$5,2,FALSE),"SIN PARO")</f>
        <v>SIN PARO</v>
      </c>
      <c r="L70" s="58"/>
    </row>
    <row r="71" spans="1:12" ht="16.5" customHeight="1" thickBot="1" x14ac:dyDescent="0.25">
      <c r="A71" s="19" t="s">
        <v>249</v>
      </c>
      <c r="B71" s="47" t="s">
        <v>255</v>
      </c>
      <c r="C71" s="56"/>
      <c r="D71" s="34" t="str">
        <f>IFERROR(VLOOKUP(C71,DATOS!$E$2:$F$200,2,FALSE),"Sin Datos")</f>
        <v>Sin Datos</v>
      </c>
      <c r="E71" s="56"/>
      <c r="F71" s="40"/>
      <c r="G71" s="40"/>
      <c r="H71" s="40"/>
      <c r="I71" s="43"/>
      <c r="J71" s="62"/>
      <c r="K71" s="34" t="str">
        <f>IFERROR(VLOOKUP(J71,DATOS!$J$2:$K$5,2,FALSE),"SIN PARO")</f>
        <v>SIN PARO</v>
      </c>
      <c r="L71" s="59"/>
    </row>
    <row r="72" spans="1:12" ht="16.5" customHeight="1" thickBot="1" x14ac:dyDescent="0.25">
      <c r="A72" s="73" t="s">
        <v>250</v>
      </c>
      <c r="B72" s="74" t="s">
        <v>256</v>
      </c>
      <c r="C72" s="75"/>
      <c r="D72" s="76" t="str">
        <f>IFERROR(VLOOKUP(C72,DATOS!$E$2:$F$200,2,FALSE),"Sin Datos")</f>
        <v>Sin Datos</v>
      </c>
      <c r="E72" s="75"/>
      <c r="F72" s="77"/>
      <c r="G72" s="77"/>
      <c r="H72" s="77"/>
      <c r="I72" s="78"/>
      <c r="J72" s="79"/>
      <c r="K72" s="76" t="str">
        <f>IFERROR(VLOOKUP(J72,DATOS!$J$2:$K$5,2,FALSE),"SIN PARO")</f>
        <v>SIN PARO</v>
      </c>
      <c r="L72" s="80"/>
    </row>
    <row r="73" spans="1:12" ht="30" x14ac:dyDescent="0.25">
      <c r="A73" s="17" t="s">
        <v>261</v>
      </c>
      <c r="B73" s="45" t="s">
        <v>255</v>
      </c>
      <c r="C73" s="89"/>
      <c r="D73" s="32" t="str">
        <f>IFERROR(VLOOKUP(C73,DATOS!$E$2:$F$200,2,FALSE),"Sin Datos")</f>
        <v>Sin Datos</v>
      </c>
      <c r="E73" s="54"/>
      <c r="F73" s="38"/>
      <c r="G73" s="38"/>
      <c r="H73" s="38"/>
      <c r="I73" s="41"/>
      <c r="J73" s="60"/>
      <c r="K73" s="32" t="str">
        <f>IFERROR(VLOOKUP(J73,DATOS!$J$2:$K$5,2,FALSE),"SIN PARO")</f>
        <v>SIN PARO</v>
      </c>
      <c r="L73" s="57"/>
    </row>
    <row r="74" spans="1:12" ht="30.75" thickBot="1" x14ac:dyDescent="0.25">
      <c r="A74" s="19" t="s">
        <v>261</v>
      </c>
      <c r="B74" s="47" t="s">
        <v>255</v>
      </c>
      <c r="C74" s="56"/>
      <c r="D74" s="34" t="str">
        <f>IFERROR(VLOOKUP(C74,DATOS!$E$2:$F$200,2,FALSE),"Sin Datos")</f>
        <v>Sin Datos</v>
      </c>
      <c r="E74" s="40"/>
      <c r="F74" s="40"/>
      <c r="G74" s="40"/>
      <c r="H74" s="40"/>
      <c r="I74" s="43"/>
      <c r="J74" s="62"/>
      <c r="K74" s="34" t="str">
        <f>IFERROR(VLOOKUP(J74,DATOS!$J$2:$K$5,2,FALSE),"SIN PARO")</f>
        <v>SIN PARO</v>
      </c>
      <c r="L74" s="59"/>
    </row>
    <row r="75" spans="1:12" ht="16.5" customHeight="1" x14ac:dyDescent="0.25">
      <c r="A75" s="18" t="s">
        <v>251</v>
      </c>
      <c r="B75" s="46" t="s">
        <v>255</v>
      </c>
      <c r="C75" s="89"/>
      <c r="D75" s="33" t="str">
        <f>IFERROR(VLOOKUP(C75,DATOS!$E$2:$F$200,2,FALSE),"Sin Datos")</f>
        <v>Sin Datos</v>
      </c>
      <c r="E75" s="55"/>
      <c r="F75" s="39"/>
      <c r="G75" s="39"/>
      <c r="H75" s="39"/>
      <c r="I75" s="51"/>
      <c r="J75" s="61"/>
      <c r="K75" s="33" t="str">
        <f>IFERROR(VLOOKUP(J75,DATOS!$J$2:$K$5,2,FALSE),"SIN PARO")</f>
        <v>SIN PARO</v>
      </c>
      <c r="L75" s="58"/>
    </row>
    <row r="76" spans="1:12" ht="16.5" customHeight="1" x14ac:dyDescent="0.25">
      <c r="A76" s="18" t="s">
        <v>251</v>
      </c>
      <c r="B76" s="46" t="s">
        <v>255</v>
      </c>
      <c r="C76" s="89"/>
      <c r="D76" s="33" t="str">
        <f>IFERROR(VLOOKUP(C76,DATOS!$E$2:$F$200,2,FALSE),"Sin Datos")</f>
        <v>Sin Datos</v>
      </c>
      <c r="E76" s="55"/>
      <c r="F76" s="39"/>
      <c r="G76" s="39"/>
      <c r="H76" s="39"/>
      <c r="I76" s="51"/>
      <c r="J76" s="61"/>
      <c r="K76" s="33" t="str">
        <f>IFERROR(VLOOKUP(J76,DATOS!$J$2:$K$5,2,FALSE),"SIN PARO")</f>
        <v>SIN PARO</v>
      </c>
      <c r="L76" s="58"/>
    </row>
    <row r="77" spans="1:12" ht="16.5" customHeight="1" x14ac:dyDescent="0.25">
      <c r="A77" s="18" t="s">
        <v>251</v>
      </c>
      <c r="B77" s="46" t="s">
        <v>255</v>
      </c>
      <c r="C77" s="89"/>
      <c r="D77" s="33" t="str">
        <f>IFERROR(VLOOKUP(C77,DATOS!$E$2:$F$200,2,FALSE),"Sin Datos")</f>
        <v>Sin Datos</v>
      </c>
      <c r="E77" s="55"/>
      <c r="F77" s="39"/>
      <c r="G77" s="39"/>
      <c r="H77" s="39"/>
      <c r="I77" s="51"/>
      <c r="J77" s="61"/>
      <c r="K77" s="33" t="str">
        <f>IFERROR(VLOOKUP(J77,DATOS!$J$2:$K$5,2,FALSE),"SIN PARO")</f>
        <v>SIN PARO</v>
      </c>
      <c r="L77" s="58"/>
    </row>
    <row r="78" spans="1:12" ht="16.5" customHeight="1" thickBot="1" x14ac:dyDescent="0.25">
      <c r="A78" s="18" t="s">
        <v>251</v>
      </c>
      <c r="B78" s="46" t="s">
        <v>255</v>
      </c>
      <c r="C78" s="55"/>
      <c r="D78" s="33" t="str">
        <f>IFERROR(VLOOKUP(C78,DATOS!$E$2:$F$200,2,FALSE),"Sin Datos")</f>
        <v>Sin Datos</v>
      </c>
      <c r="E78" s="55"/>
      <c r="F78" s="39"/>
      <c r="G78" s="39"/>
      <c r="H78" s="39"/>
      <c r="I78" s="42"/>
      <c r="J78" s="61"/>
      <c r="K78" s="33" t="str">
        <f>IFERROR(VLOOKUP(J78,DATOS!$J$2:$K$5,2,FALSE),"SIN PARO")</f>
        <v>SIN PARO</v>
      </c>
      <c r="L78" s="58"/>
    </row>
    <row r="79" spans="1:12" ht="16.5" customHeight="1" x14ac:dyDescent="0.25">
      <c r="A79" s="17" t="s">
        <v>14</v>
      </c>
      <c r="B79" s="45" t="s">
        <v>258</v>
      </c>
      <c r="C79" s="89"/>
      <c r="D79" s="32" t="str">
        <f>IFERROR(VLOOKUP(C79,DATOS!$E$2:$F$200,2,FALSE),"Sin Datos")</f>
        <v>Sin Datos</v>
      </c>
      <c r="E79" s="54"/>
      <c r="F79" s="38"/>
      <c r="G79" s="38"/>
      <c r="H79" s="38"/>
      <c r="I79" s="41"/>
      <c r="J79" s="60"/>
      <c r="K79" s="32" t="str">
        <f>IFERROR(VLOOKUP(J79,DATOS!$J$2:$K$5,2,FALSE),"SIN PARO")</f>
        <v>SIN PARO</v>
      </c>
      <c r="L79" s="57"/>
    </row>
    <row r="80" spans="1:12" ht="16.5" customHeight="1" thickBot="1" x14ac:dyDescent="0.25">
      <c r="A80" s="19" t="s">
        <v>14</v>
      </c>
      <c r="B80" s="47" t="s">
        <v>258</v>
      </c>
      <c r="C80" s="56"/>
      <c r="D80" s="34" t="str">
        <f>IFERROR(VLOOKUP(C80,DATOS!$E$2:$F$200,2,FALSE),"Sin Datos")</f>
        <v>Sin Datos</v>
      </c>
      <c r="E80" s="56"/>
      <c r="F80" s="40"/>
      <c r="G80" s="40"/>
      <c r="H80" s="40"/>
      <c r="I80" s="43"/>
      <c r="J80" s="62"/>
      <c r="K80" s="34" t="str">
        <f>IFERROR(VLOOKUP(J80,DATOS!$J$2:$K$5,2,FALSE),"SIN PARO")</f>
        <v>SIN PARO</v>
      </c>
      <c r="L80" s="59"/>
    </row>
    <row r="81" spans="1:12" ht="30" x14ac:dyDescent="0.25">
      <c r="A81" s="17" t="s">
        <v>253</v>
      </c>
      <c r="B81" s="45" t="s">
        <v>253</v>
      </c>
      <c r="C81" s="89"/>
      <c r="D81" s="32" t="str">
        <f>IFERROR(VLOOKUP(C81,DATOS!$E$2:$F$200,2,FALSE),"Sin Datos")</f>
        <v>Sin Datos</v>
      </c>
      <c r="E81" s="54"/>
      <c r="F81" s="38"/>
      <c r="G81" s="38"/>
      <c r="H81" s="38"/>
      <c r="I81" s="41"/>
      <c r="J81" s="60"/>
      <c r="K81" s="32" t="str">
        <f>IFERROR(VLOOKUP(J81,DATOS!$J$2:$K$5,2,FALSE),"SIN PARO")</f>
        <v>SIN PARO</v>
      </c>
      <c r="L81" s="57"/>
    </row>
    <row r="82" spans="1:12" ht="30" x14ac:dyDescent="0.25">
      <c r="A82" s="18" t="s">
        <v>253</v>
      </c>
      <c r="B82" s="46" t="s">
        <v>253</v>
      </c>
      <c r="C82" s="89"/>
      <c r="D82" s="33" t="str">
        <f>IFERROR(VLOOKUP(C82,DATOS!$E$2:$F$200,2,FALSE),"Sin Datos")</f>
        <v>Sin Datos</v>
      </c>
      <c r="E82" s="55"/>
      <c r="F82" s="39"/>
      <c r="G82" s="39"/>
      <c r="H82" s="39"/>
      <c r="I82" s="42"/>
      <c r="J82" s="61"/>
      <c r="K82" s="33" t="str">
        <f>IFERROR(VLOOKUP(J82,DATOS!$J$2:$K$5,2,FALSE),"SIN PARO")</f>
        <v>SIN PARO</v>
      </c>
      <c r="L82" s="58"/>
    </row>
    <row r="83" spans="1:12" ht="30.75" thickBot="1" x14ac:dyDescent="0.25">
      <c r="A83" s="19" t="s">
        <v>253</v>
      </c>
      <c r="B83" s="47" t="s">
        <v>253</v>
      </c>
      <c r="C83" s="56"/>
      <c r="D83" s="34" t="str">
        <f>IFERROR(VLOOKUP(C83,DATOS!$E$2:$F$200,2,FALSE),"Sin Datos")</f>
        <v>Sin Datos</v>
      </c>
      <c r="E83" s="56"/>
      <c r="F83" s="40"/>
      <c r="G83" s="40"/>
      <c r="H83" s="40"/>
      <c r="I83" s="43"/>
      <c r="J83" s="62"/>
      <c r="K83" s="34" t="str">
        <f>IFERROR(VLOOKUP(J83,DATOS!$J$2:$K$5,2,FALSE),"SIN PARO")</f>
        <v>SIN PARO</v>
      </c>
      <c r="L83" s="59"/>
    </row>
    <row r="84" spans="1:12" ht="15" x14ac:dyDescent="0.25">
      <c r="A84" s="50" t="s">
        <v>32</v>
      </c>
      <c r="B84" s="45" t="s">
        <v>32</v>
      </c>
      <c r="C84" s="89"/>
      <c r="D84" s="32" t="str">
        <f>IFERROR(VLOOKUP(C84,DATOS!$E$2:$F$200,2,FALSE),"Sin Datos")</f>
        <v>Sin Datos</v>
      </c>
      <c r="E84" s="54"/>
      <c r="F84" s="38"/>
      <c r="G84" s="38"/>
      <c r="H84" s="38"/>
      <c r="I84" s="41"/>
      <c r="J84" s="60"/>
      <c r="K84" s="32" t="str">
        <f>IFERROR(VLOOKUP(J84,DATOS!$J$2:$K$5,2,FALSE),"SIN PARO")</f>
        <v>SIN PARO</v>
      </c>
      <c r="L84" s="57"/>
    </row>
    <row r="85" spans="1:12" ht="15" x14ac:dyDescent="0.25">
      <c r="A85" s="52" t="s">
        <v>32</v>
      </c>
      <c r="B85" s="46" t="s">
        <v>32</v>
      </c>
      <c r="C85" s="89"/>
      <c r="D85" s="33" t="str">
        <f>IFERROR(VLOOKUP(C85,DATOS!$E$2:$F$200,2,FALSE),"Sin Datos")</f>
        <v>Sin Datos</v>
      </c>
      <c r="E85" s="55"/>
      <c r="F85" s="39"/>
      <c r="G85" s="39"/>
      <c r="H85" s="39"/>
      <c r="I85" s="42"/>
      <c r="J85" s="61"/>
      <c r="K85" s="33" t="str">
        <f>IFERROR(VLOOKUP(J85,DATOS!$J$2:$K$5,2,FALSE),"SIN PARO")</f>
        <v>SIN PARO</v>
      </c>
      <c r="L85" s="58"/>
    </row>
    <row r="86" spans="1:12" ht="15.75" thickBot="1" x14ac:dyDescent="0.25">
      <c r="A86" s="53" t="s">
        <v>32</v>
      </c>
      <c r="B86" s="47" t="s">
        <v>32</v>
      </c>
      <c r="C86" s="56"/>
      <c r="D86" s="34" t="str">
        <f>IFERROR(VLOOKUP(C86,DATOS!$E$2:$F$200,2,FALSE),"Sin Datos")</f>
        <v>Sin Datos</v>
      </c>
      <c r="E86" s="56"/>
      <c r="F86" s="40"/>
      <c r="G86" s="40"/>
      <c r="H86" s="40"/>
      <c r="I86" s="43"/>
      <c r="J86" s="62"/>
      <c r="K86" s="34" t="str">
        <f>IFERROR(VLOOKUP(J86,DATOS!$J$2:$K$5,2,FALSE),"SIN PARO")</f>
        <v>SIN PARO</v>
      </c>
      <c r="L86" s="59"/>
    </row>
    <row r="87" spans="1:12" ht="15" x14ac:dyDescent="0.25">
      <c r="A87" s="17" t="s">
        <v>254</v>
      </c>
      <c r="B87" s="45" t="s">
        <v>254</v>
      </c>
      <c r="C87" s="89"/>
      <c r="D87" s="32" t="str">
        <f>IFERROR(VLOOKUP(C87,DATOS!$E$2:$F$200,2,FALSE),"Sin Datos")</f>
        <v>Sin Datos</v>
      </c>
      <c r="E87" s="54"/>
      <c r="F87" s="38"/>
      <c r="G87" s="38"/>
      <c r="H87" s="38"/>
      <c r="I87" s="41"/>
      <c r="J87" s="60"/>
      <c r="K87" s="32" t="str">
        <f>IFERROR(VLOOKUP(J87,DATOS!$J$2:$K$5,2,FALSE),"SIN PARO")</f>
        <v>SIN PARO</v>
      </c>
      <c r="L87" s="57"/>
    </row>
    <row r="88" spans="1:12" ht="15" x14ac:dyDescent="0.2">
      <c r="A88" s="18" t="s">
        <v>254</v>
      </c>
      <c r="B88" s="46" t="s">
        <v>254</v>
      </c>
      <c r="C88" s="55"/>
      <c r="D88" s="33" t="str">
        <f>IFERROR(VLOOKUP(C88,DATOS!$E$2:$F$200,2,FALSE),"Sin Datos")</f>
        <v>Sin Datos</v>
      </c>
      <c r="E88" s="55"/>
      <c r="F88" s="39"/>
      <c r="G88" s="39"/>
      <c r="H88" s="39"/>
      <c r="I88" s="42"/>
      <c r="J88" s="61"/>
      <c r="K88" s="33" t="str">
        <f>IFERROR(VLOOKUP(J88,DATOS!$J$2:$K$5,2,FALSE),"SIN PARO")</f>
        <v>SIN PARO</v>
      </c>
      <c r="L88" s="58"/>
    </row>
    <row r="89" spans="1:12" ht="15.75" thickBot="1" x14ac:dyDescent="0.25">
      <c r="A89" s="19" t="s">
        <v>254</v>
      </c>
      <c r="B89" s="47" t="s">
        <v>254</v>
      </c>
      <c r="C89" s="56"/>
      <c r="D89" s="34" t="str">
        <f>IFERROR(VLOOKUP(C89,DATOS!$E$2:$F$200,2,FALSE),"Sin Datos")</f>
        <v>Sin Datos</v>
      </c>
      <c r="E89" s="56"/>
      <c r="F89" s="40"/>
      <c r="G89" s="40"/>
      <c r="H89" s="40"/>
      <c r="I89" s="43"/>
      <c r="J89" s="62"/>
      <c r="K89" s="34" t="str">
        <f>IFERROR(VLOOKUP(J89,DATOS!$J$2:$K$5,2,FALSE),"SIN PARO")</f>
        <v>SIN PARO</v>
      </c>
      <c r="L89" s="59"/>
    </row>
    <row r="90" spans="1:12" ht="15" x14ac:dyDescent="0.25">
      <c r="A90" s="17" t="s">
        <v>31</v>
      </c>
      <c r="B90" s="45" t="s">
        <v>31</v>
      </c>
      <c r="C90" s="89"/>
      <c r="D90" s="32" t="str">
        <f>IFERROR(VLOOKUP(C90,DATOS!$E$2:$F$200,2,FALSE),"Sin Datos")</f>
        <v>Sin Datos</v>
      </c>
      <c r="E90" s="54"/>
      <c r="F90" s="38"/>
      <c r="G90" s="38"/>
      <c r="H90" s="38"/>
      <c r="I90" s="41"/>
      <c r="J90" s="60"/>
      <c r="K90" s="32" t="str">
        <f>IFERROR(VLOOKUP(J90,DATOS!$J$2:$K$5,2,FALSE),"SIN PARO")</f>
        <v>SIN PARO</v>
      </c>
      <c r="L90" s="57"/>
    </row>
    <row r="91" spans="1:12" ht="15" x14ac:dyDescent="0.25">
      <c r="A91" s="18" t="s">
        <v>31</v>
      </c>
      <c r="B91" s="46" t="s">
        <v>31</v>
      </c>
      <c r="C91" s="89"/>
      <c r="D91" s="33" t="str">
        <f>IFERROR(VLOOKUP(C91,DATOS!$E$2:$F$200,2,FALSE),"Sin Datos")</f>
        <v>Sin Datos</v>
      </c>
      <c r="E91" s="55"/>
      <c r="F91" s="39"/>
      <c r="G91" s="39"/>
      <c r="H91" s="39"/>
      <c r="I91" s="42"/>
      <c r="J91" s="61"/>
      <c r="K91" s="33" t="str">
        <f>IFERROR(VLOOKUP(J91,DATOS!$J$2:$K$5,2,FALSE),"SIN PARO")</f>
        <v>SIN PARO</v>
      </c>
      <c r="L91" s="58"/>
    </row>
    <row r="92" spans="1:12" ht="15" x14ac:dyDescent="0.2">
      <c r="A92" s="18" t="s">
        <v>31</v>
      </c>
      <c r="B92" s="46" t="s">
        <v>31</v>
      </c>
      <c r="C92" s="55"/>
      <c r="D92" s="33" t="str">
        <f>IFERROR(VLOOKUP(C92,DATOS!$E$2:$F$200,2,FALSE),"Sin Datos")</f>
        <v>Sin Datos</v>
      </c>
      <c r="E92" s="55"/>
      <c r="F92" s="39"/>
      <c r="G92" s="39"/>
      <c r="H92" s="39"/>
      <c r="I92" s="42"/>
      <c r="J92" s="61"/>
      <c r="K92" s="33" t="str">
        <f>IFERROR(VLOOKUP(J92,DATOS!$J$2:$K$5,2,FALSE),"SIN PARO")</f>
        <v>SIN PARO</v>
      </c>
      <c r="L92" s="58"/>
    </row>
    <row r="93" spans="1:12" ht="15" x14ac:dyDescent="0.2">
      <c r="A93" s="18" t="s">
        <v>31</v>
      </c>
      <c r="B93" s="46" t="s">
        <v>31</v>
      </c>
      <c r="C93" s="55"/>
      <c r="D93" s="33" t="str">
        <f>IFERROR(VLOOKUP(C93,DATOS!$E$2:$F$200,2,FALSE),"Sin Datos")</f>
        <v>Sin Datos</v>
      </c>
      <c r="E93" s="55"/>
      <c r="F93" s="39"/>
      <c r="G93" s="39"/>
      <c r="H93" s="39"/>
      <c r="I93" s="42"/>
      <c r="J93" s="61"/>
      <c r="K93" s="33" t="str">
        <f>IFERROR(VLOOKUP(J93,DATOS!$J$2:$K$5,2,FALSE),"SIN PARO")</f>
        <v>SIN PARO</v>
      </c>
      <c r="L93" s="58"/>
    </row>
    <row r="94" spans="1:12" ht="15.75" thickBot="1" x14ac:dyDescent="0.25">
      <c r="A94" s="19" t="s">
        <v>31</v>
      </c>
      <c r="B94" s="47" t="s">
        <v>31</v>
      </c>
      <c r="C94" s="56"/>
      <c r="D94" s="34" t="str">
        <f>IFERROR(VLOOKUP(C94,DATOS!$E$2:$F$200,2,FALSE),"Sin Datos")</f>
        <v>Sin Datos</v>
      </c>
      <c r="E94" s="55"/>
      <c r="F94" s="40"/>
      <c r="G94" s="40"/>
      <c r="H94" s="40"/>
      <c r="I94" s="43"/>
      <c r="J94" s="62"/>
      <c r="K94" s="34" t="str">
        <f>IFERROR(VLOOKUP(J94,DATOS!$J$2:$K$5,2,FALSE),"SIN PARO")</f>
        <v>SIN PARO</v>
      </c>
      <c r="L94" s="59"/>
    </row>
    <row r="95" spans="1:12" ht="25.5" x14ac:dyDescent="0.2">
      <c r="A95" s="50" t="s">
        <v>262</v>
      </c>
      <c r="B95" s="45" t="s">
        <v>262</v>
      </c>
      <c r="C95" s="54"/>
      <c r="D95" s="32" t="str">
        <f>IFERROR(VLOOKUP(C95,DATOS!$E$2:$F$200,2,FALSE),"Sin Datos")</f>
        <v>Sin Datos</v>
      </c>
      <c r="E95" s="35"/>
      <c r="F95" s="38"/>
      <c r="G95" s="38"/>
      <c r="H95" s="38"/>
      <c r="I95" s="41"/>
      <c r="J95" s="29"/>
      <c r="K95" s="32" t="str">
        <f>IFERROR(VLOOKUP(J95,DATOS!$J$2:$K$5,2,FALSE),"SIN PARO")</f>
        <v>SIN PARO</v>
      </c>
      <c r="L95" s="57"/>
    </row>
    <row r="96" spans="1:12" ht="26.25" thickBot="1" x14ac:dyDescent="0.25">
      <c r="A96" s="53" t="s">
        <v>262</v>
      </c>
      <c r="B96" s="47" t="s">
        <v>258</v>
      </c>
      <c r="C96" s="56"/>
      <c r="D96" s="34" t="str">
        <f>IFERROR(VLOOKUP(C96,DATOS!$E$2:$F$200,2,FALSE),"Sin Datos")</f>
        <v>Sin Datos</v>
      </c>
      <c r="E96" s="37"/>
      <c r="F96" s="40"/>
      <c r="G96" s="40"/>
      <c r="H96" s="40"/>
      <c r="I96" s="43"/>
      <c r="J96" s="31"/>
      <c r="K96" s="34" t="str">
        <f>IFERROR(VLOOKUP(J96,DATOS!$J$2:$K$5,2,FALSE),"SIN PARO")</f>
        <v>SIN PARO</v>
      </c>
      <c r="L96" s="59"/>
    </row>
    <row r="97" spans="1:12" ht="15" x14ac:dyDescent="0.2">
      <c r="A97" s="50" t="s">
        <v>263</v>
      </c>
      <c r="B97" s="45" t="s">
        <v>258</v>
      </c>
      <c r="C97" s="54"/>
      <c r="D97" s="32" t="str">
        <f>IFERROR(VLOOKUP(C97,DATOS!$E$2:$F$200,2,FALSE),"Sin Datos")</f>
        <v>Sin Datos</v>
      </c>
      <c r="E97" s="35"/>
      <c r="F97" s="38"/>
      <c r="G97" s="38"/>
      <c r="H97" s="38"/>
      <c r="I97" s="41"/>
      <c r="J97" s="29"/>
      <c r="K97" s="32" t="str">
        <f>IFERROR(VLOOKUP(J97,DATOS!$J$2:$K$5,2,FALSE),"SIN PARO")</f>
        <v>SIN PARO</v>
      </c>
      <c r="L97" s="57"/>
    </row>
    <row r="98" spans="1:12" ht="15.75" thickBot="1" x14ac:dyDescent="0.25">
      <c r="A98" s="53" t="s">
        <v>263</v>
      </c>
      <c r="B98" s="47" t="s">
        <v>258</v>
      </c>
      <c r="C98" s="56"/>
      <c r="D98" s="34" t="str">
        <f>IFERROR(VLOOKUP(C98,DATOS!$E$2:$F$200,2,FALSE),"Sin Datos")</f>
        <v>Sin Datos</v>
      </c>
      <c r="E98" s="37"/>
      <c r="F98" s="40"/>
      <c r="G98" s="40"/>
      <c r="H98" s="40"/>
      <c r="I98" s="43"/>
      <c r="J98" s="31"/>
      <c r="K98" s="34" t="str">
        <f>IFERROR(VLOOKUP(J98,DATOS!$J$2:$K$5,2,FALSE),"SIN PARO")</f>
        <v>SIN PARO</v>
      </c>
      <c r="L98" s="59"/>
    </row>
    <row r="99" spans="1:12" ht="25.5" x14ac:dyDescent="0.2">
      <c r="A99" s="50" t="s">
        <v>264</v>
      </c>
      <c r="B99" s="45" t="s">
        <v>258</v>
      </c>
      <c r="C99" s="54"/>
      <c r="D99" s="32" t="str">
        <f>IFERROR(VLOOKUP(C99,DATOS!$E$2:$F$200,2,FALSE),"Sin Datos")</f>
        <v>Sin Datos</v>
      </c>
      <c r="E99" s="35"/>
      <c r="F99" s="38"/>
      <c r="G99" s="38"/>
      <c r="H99" s="38"/>
      <c r="I99" s="41"/>
      <c r="J99" s="29"/>
      <c r="K99" s="32" t="str">
        <f>IFERROR(VLOOKUP(J99,DATOS!$J$2:$K$5,2,FALSE),"SIN PARO")</f>
        <v>SIN PARO</v>
      </c>
      <c r="L99" s="57"/>
    </row>
    <row r="100" spans="1:12" ht="26.25" thickBot="1" x14ac:dyDescent="0.25">
      <c r="A100" s="53" t="s">
        <v>264</v>
      </c>
      <c r="B100" s="47" t="s">
        <v>258</v>
      </c>
      <c r="C100" s="56"/>
      <c r="D100" s="34" t="str">
        <f>IFERROR(VLOOKUP(C100,DATOS!$E$2:$F$200,2,FALSE),"Sin Datos")</f>
        <v>Sin Datos</v>
      </c>
      <c r="E100" s="37"/>
      <c r="F100" s="40"/>
      <c r="G100" s="40"/>
      <c r="H100" s="40"/>
      <c r="I100" s="43"/>
      <c r="J100" s="31"/>
      <c r="K100" s="34" t="str">
        <f>IFERROR(VLOOKUP(J100,DATOS!$J$2:$K$5,2,FALSE),"SIN PARO")</f>
        <v>SIN PARO</v>
      </c>
      <c r="L100" s="59"/>
    </row>
    <row r="101" spans="1:12" ht="25.5" x14ac:dyDescent="0.2">
      <c r="A101" s="50" t="s">
        <v>265</v>
      </c>
      <c r="B101" s="45" t="s">
        <v>258</v>
      </c>
      <c r="C101" s="54"/>
      <c r="D101" s="32" t="str">
        <f>IFERROR(VLOOKUP(C101,DATOS!$E$2:$F$200,2,FALSE),"Sin Datos")</f>
        <v>Sin Datos</v>
      </c>
      <c r="E101" s="35"/>
      <c r="F101" s="38"/>
      <c r="G101" s="38"/>
      <c r="H101" s="38"/>
      <c r="I101" s="41"/>
      <c r="J101" s="29"/>
      <c r="K101" s="32" t="str">
        <f>IFERROR(VLOOKUP(J101,DATOS!$J$2:$K$5,2,FALSE),"SIN PARO")</f>
        <v>SIN PARO</v>
      </c>
      <c r="L101" s="57"/>
    </row>
    <row r="102" spans="1:12" ht="26.25" thickBot="1" x14ac:dyDescent="0.25">
      <c r="A102" s="53" t="s">
        <v>265</v>
      </c>
      <c r="B102" s="47" t="s">
        <v>258</v>
      </c>
      <c r="C102" s="56"/>
      <c r="D102" s="34" t="str">
        <f>IFERROR(VLOOKUP(C102,DATOS!$E$2:$F$200,2,FALSE),"Sin Datos")</f>
        <v>Sin Datos</v>
      </c>
      <c r="E102" s="37"/>
      <c r="F102" s="40"/>
      <c r="G102" s="40"/>
      <c r="H102" s="40"/>
      <c r="I102" s="43"/>
      <c r="J102" s="31"/>
      <c r="K102" s="34" t="str">
        <f>IFERROR(VLOOKUP(J102,DATOS!$J$2:$K$5,2,FALSE),"SIN PARO")</f>
        <v>SIN PARO</v>
      </c>
      <c r="L102" s="59"/>
    </row>
    <row r="103" spans="1:12" ht="25.5" x14ac:dyDescent="0.2">
      <c r="A103" s="50" t="s">
        <v>266</v>
      </c>
      <c r="B103" s="45" t="s">
        <v>258</v>
      </c>
      <c r="C103" s="54"/>
      <c r="D103" s="32" t="str">
        <f>IFERROR(VLOOKUP(C103,DATOS!$E$2:$F$200,2,FALSE),"Sin Datos")</f>
        <v>Sin Datos</v>
      </c>
      <c r="E103" s="35"/>
      <c r="F103" s="38"/>
      <c r="G103" s="38"/>
      <c r="H103" s="38"/>
      <c r="I103" s="41"/>
      <c r="J103" s="29"/>
      <c r="K103" s="32" t="str">
        <f>IFERROR(VLOOKUP(J103,DATOS!$J$2:$K$5,2,FALSE),"SIN PARO")</f>
        <v>SIN PARO</v>
      </c>
      <c r="L103" s="57"/>
    </row>
    <row r="104" spans="1:12" ht="26.25" thickBot="1" x14ac:dyDescent="0.25">
      <c r="A104" s="53" t="s">
        <v>266</v>
      </c>
      <c r="B104" s="47" t="s">
        <v>258</v>
      </c>
      <c r="C104" s="56"/>
      <c r="D104" s="34" t="str">
        <f>IFERROR(VLOOKUP(C104,DATOS!$E$2:$F$200,2,FALSE),"Sin Datos")</f>
        <v>Sin Datos</v>
      </c>
      <c r="E104" s="37"/>
      <c r="F104" s="40"/>
      <c r="G104" s="40"/>
      <c r="H104" s="40"/>
      <c r="I104" s="43"/>
      <c r="J104" s="31"/>
      <c r="K104" s="34" t="str">
        <f>IFERROR(VLOOKUP(J104,DATOS!$J$2:$K$5,2,FALSE),"SIN PARO")</f>
        <v>SIN PARO</v>
      </c>
      <c r="L104" s="59"/>
    </row>
    <row r="105" spans="1:12" ht="15" x14ac:dyDescent="0.2">
      <c r="A105" s="50" t="s">
        <v>267</v>
      </c>
      <c r="B105" s="45" t="s">
        <v>258</v>
      </c>
      <c r="C105" s="54"/>
      <c r="D105" s="32" t="str">
        <f>IFERROR(VLOOKUP(C105,DATOS!$E$2:$F$200,2,FALSE),"Sin Datos")</f>
        <v>Sin Datos</v>
      </c>
      <c r="E105" s="35"/>
      <c r="F105" s="38"/>
      <c r="G105" s="38"/>
      <c r="H105" s="38"/>
      <c r="I105" s="41"/>
      <c r="J105" s="29"/>
      <c r="K105" s="32" t="str">
        <f>IFERROR(VLOOKUP(J105,DATOS!$J$2:$K$5,2,FALSE),"SIN PARO")</f>
        <v>SIN PARO</v>
      </c>
      <c r="L105" s="57"/>
    </row>
    <row r="106" spans="1:12" ht="15.75" thickBot="1" x14ac:dyDescent="0.25">
      <c r="A106" s="53" t="s">
        <v>267</v>
      </c>
      <c r="B106" s="47" t="s">
        <v>258</v>
      </c>
      <c r="C106" s="56"/>
      <c r="D106" s="34" t="str">
        <f>IFERROR(VLOOKUP(C106,DATOS!$E$2:$F$200,2,FALSE),"Sin Datos")</f>
        <v>Sin Datos</v>
      </c>
      <c r="E106" s="37"/>
      <c r="F106" s="40"/>
      <c r="G106" s="40"/>
      <c r="H106" s="40"/>
      <c r="I106" s="43"/>
      <c r="J106" s="31"/>
      <c r="K106" s="34" t="str">
        <f>IFERROR(VLOOKUP(J106,DATOS!$J$2:$K$5,2,FALSE),"SIN PARO")</f>
        <v>SIN PARO</v>
      </c>
      <c r="L106" s="59"/>
    </row>
    <row r="107" spans="1:12" ht="15" x14ac:dyDescent="0.2">
      <c r="A107" s="17" t="s">
        <v>31</v>
      </c>
      <c r="B107" s="45" t="s">
        <v>258</v>
      </c>
      <c r="C107" s="54"/>
      <c r="D107" s="32" t="str">
        <f>IFERROR(VLOOKUP(C107,DATOS!$E$2:$F$200,2,FALSE),"Sin Datos")</f>
        <v>Sin Datos</v>
      </c>
      <c r="E107" s="35"/>
      <c r="F107" s="38"/>
      <c r="G107" s="38"/>
      <c r="H107" s="38"/>
      <c r="I107" s="41"/>
      <c r="J107" s="29"/>
      <c r="K107" s="32" t="str">
        <f>IFERROR(VLOOKUP(J107,DATOS!$J$2:$K$5,2,FALSE),"SIN PARO")</f>
        <v>SIN PARO</v>
      </c>
      <c r="L107" s="57"/>
    </row>
    <row r="108" spans="1:12" ht="15.75" thickBot="1" x14ac:dyDescent="0.25">
      <c r="A108" s="19" t="s">
        <v>31</v>
      </c>
      <c r="B108" s="47" t="s">
        <v>258</v>
      </c>
      <c r="C108" s="56"/>
      <c r="D108" s="34" t="str">
        <f>IFERROR(VLOOKUP(C108,DATOS!$E$2:$F$200,2,FALSE),"Sin Datos")</f>
        <v>Sin Datos</v>
      </c>
      <c r="E108" s="37"/>
      <c r="F108" s="40"/>
      <c r="G108" s="40"/>
      <c r="H108" s="40"/>
      <c r="I108" s="43"/>
      <c r="J108" s="31"/>
      <c r="K108" s="34" t="str">
        <f>IFERROR(VLOOKUP(J108,DATOS!$J$2:$K$5,2,FALSE),"SIN PARO")</f>
        <v>SIN PARO</v>
      </c>
      <c r="L108" s="59"/>
    </row>
  </sheetData>
  <sheetProtection algorithmName="SHA-512" hashValue="dj7Wqj3vEVkuJyPEC1Ci3WUvfHOjZlO8LaLduMmYghJ7q+WE6JgT9e6n6EZqyhBMjbXgzLFpK3THjbrdcq/T5w==" saltValue="OtPXX1P0Cx3HGF/PzX4Ohg==" spinCount="100000" sheet="1" objects="1" scenarios="1"/>
  <protectedRanges>
    <protectedRange sqref="L9:L108" name="Rango1"/>
  </protectedRanges>
  <mergeCells count="4">
    <mergeCell ref="A1:L1"/>
    <mergeCell ref="C6:D6"/>
    <mergeCell ref="J6:K6"/>
    <mergeCell ref="H6:I6"/>
  </mergeCells>
  <dataValidations count="3">
    <dataValidation type="whole" allowBlank="1" showInputMessage="1" showErrorMessage="1" errorTitle="Error" error="las opciones son:_x000a__x000a_1 ausentismo_x000a_2 mantenimiento_x000a_3 setup_x000a_4 otros" sqref="J9:J108" xr:uid="{00000000-0002-0000-0100-000000000000}">
      <formula1>1</formula1>
      <formula2>4</formula2>
    </dataValidation>
    <dataValidation type="whole" allowBlank="1" showInputMessage="1" showErrorMessage="1" sqref="F9:I108" xr:uid="{00000000-0002-0000-0100-000001000000}">
      <formula1>0</formula1>
      <formula2>99999</formula2>
    </dataValidation>
    <dataValidation type="whole" allowBlank="1" showInputMessage="1" showErrorMessage="1" sqref="C9:C108" xr:uid="{00000000-0002-0000-0100-000002000000}">
      <formula1>1</formula1>
      <formula2>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DATOS!$H$2:$H$28</xm:f>
          </x14:formula1>
          <xm:sqref>E9:E108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101"/>
  <sheetViews>
    <sheetView topLeftCell="A25" workbookViewId="0">
      <selection activeCell="A2" sqref="A2:P101"/>
    </sheetView>
  </sheetViews>
  <sheetFormatPr baseColWidth="10" defaultRowHeight="15" x14ac:dyDescent="0.25"/>
  <cols>
    <col min="1" max="1" width="29.28515625" style="3" customWidth="1"/>
    <col min="2" max="2" width="12" bestFit="1" customWidth="1"/>
    <col min="3" max="3" width="8.7109375" bestFit="1" customWidth="1"/>
    <col min="4" max="4" width="7.28515625" bestFit="1" customWidth="1"/>
    <col min="5" max="5" width="9.28515625" bestFit="1" customWidth="1"/>
    <col min="6" max="6" width="10" bestFit="1" customWidth="1"/>
    <col min="7" max="7" width="8.42578125" bestFit="1" customWidth="1"/>
    <col min="8" max="8" width="10.140625" bestFit="1" customWidth="1"/>
    <col min="9" max="9" width="11.7109375" bestFit="1" customWidth="1"/>
    <col min="10" max="10" width="13" bestFit="1" customWidth="1"/>
    <col min="11" max="11" width="11.140625" bestFit="1" customWidth="1"/>
    <col min="12" max="12" width="6.7109375" bestFit="1" customWidth="1"/>
    <col min="13" max="13" width="13.28515625" bestFit="1" customWidth="1"/>
    <col min="14" max="14" width="15" bestFit="1" customWidth="1"/>
    <col min="15" max="15" width="10.5703125" bestFit="1" customWidth="1"/>
    <col min="16" max="16" width="13.85546875" bestFit="1" customWidth="1"/>
  </cols>
  <sheetData>
    <row r="1" spans="1:16" x14ac:dyDescent="0.25">
      <c r="A1" s="3" t="s">
        <v>1</v>
      </c>
      <c r="B1" t="s">
        <v>24</v>
      </c>
      <c r="C1" t="s">
        <v>25</v>
      </c>
      <c r="D1" t="s">
        <v>2</v>
      </c>
      <c r="E1" t="s">
        <v>3</v>
      </c>
      <c r="F1" t="s">
        <v>4</v>
      </c>
      <c r="G1" t="s">
        <v>199</v>
      </c>
      <c r="H1" t="s">
        <v>26</v>
      </c>
      <c r="I1" t="s">
        <v>5</v>
      </c>
      <c r="J1" t="s">
        <v>27</v>
      </c>
      <c r="K1" t="s">
        <v>8</v>
      </c>
      <c r="L1" t="s">
        <v>7</v>
      </c>
      <c r="M1" t="s">
        <v>29</v>
      </c>
      <c r="N1" t="s">
        <v>202</v>
      </c>
      <c r="O1" t="s">
        <v>28</v>
      </c>
      <c r="P1" t="s">
        <v>30</v>
      </c>
    </row>
    <row r="2" spans="1:16" x14ac:dyDescent="0.25">
      <c r="A2" s="3">
        <v>44399.585690972221</v>
      </c>
      <c r="B2" t="s">
        <v>234</v>
      </c>
      <c r="C2" t="s">
        <v>224</v>
      </c>
      <c r="D2" t="s">
        <v>18</v>
      </c>
      <c r="E2" t="s">
        <v>10</v>
      </c>
      <c r="F2" t="s">
        <v>236</v>
      </c>
      <c r="G2">
        <v>91</v>
      </c>
      <c r="H2" t="s">
        <v>125</v>
      </c>
      <c r="I2">
        <v>1006110</v>
      </c>
      <c r="J2">
        <v>600</v>
      </c>
      <c r="O2" t="s">
        <v>286</v>
      </c>
    </row>
    <row r="3" spans="1:16" x14ac:dyDescent="0.25">
      <c r="A3" s="3">
        <v>44399.585690972221</v>
      </c>
      <c r="B3" t="s">
        <v>234</v>
      </c>
      <c r="C3" t="s">
        <v>224</v>
      </c>
      <c r="D3" t="s">
        <v>18</v>
      </c>
      <c r="E3" t="s">
        <v>10</v>
      </c>
      <c r="F3" t="s">
        <v>236</v>
      </c>
      <c r="G3">
        <v>91</v>
      </c>
      <c r="H3" t="s">
        <v>125</v>
      </c>
      <c r="I3" t="s">
        <v>230</v>
      </c>
      <c r="J3">
        <v>600</v>
      </c>
      <c r="O3" t="s">
        <v>286</v>
      </c>
    </row>
    <row r="4" spans="1:16" x14ac:dyDescent="0.25">
      <c r="A4" s="3">
        <v>44399.585690972221</v>
      </c>
      <c r="B4" t="s">
        <v>234</v>
      </c>
      <c r="C4" t="s">
        <v>224</v>
      </c>
      <c r="D4" t="s">
        <v>18</v>
      </c>
      <c r="E4" t="s">
        <v>10</v>
      </c>
      <c r="F4" t="s">
        <v>237</v>
      </c>
      <c r="H4" t="s">
        <v>287</v>
      </c>
      <c r="O4" t="s">
        <v>286</v>
      </c>
    </row>
    <row r="5" spans="1:16" x14ac:dyDescent="0.25">
      <c r="A5" s="3">
        <v>44399.585690972221</v>
      </c>
      <c r="B5" t="s">
        <v>234</v>
      </c>
      <c r="C5" t="s">
        <v>224</v>
      </c>
      <c r="D5" t="s">
        <v>18</v>
      </c>
      <c r="E5" t="s">
        <v>10</v>
      </c>
      <c r="F5" t="s">
        <v>237</v>
      </c>
      <c r="H5" t="s">
        <v>287</v>
      </c>
      <c r="O5" t="s">
        <v>286</v>
      </c>
    </row>
    <row r="6" spans="1:16" x14ac:dyDescent="0.25">
      <c r="A6" s="3">
        <v>44399.585690972221</v>
      </c>
      <c r="B6" t="s">
        <v>234</v>
      </c>
      <c r="C6" t="s">
        <v>224</v>
      </c>
      <c r="D6" t="s">
        <v>18</v>
      </c>
      <c r="E6" t="s">
        <v>260</v>
      </c>
      <c r="F6" t="s">
        <v>260</v>
      </c>
      <c r="G6">
        <v>37</v>
      </c>
      <c r="H6" t="s">
        <v>71</v>
      </c>
      <c r="I6" t="s">
        <v>230</v>
      </c>
      <c r="J6">
        <v>700</v>
      </c>
      <c r="O6" t="s">
        <v>286</v>
      </c>
    </row>
    <row r="7" spans="1:16" x14ac:dyDescent="0.25">
      <c r="A7" s="3">
        <v>44399.585690972221</v>
      </c>
      <c r="B7" t="s">
        <v>234</v>
      </c>
      <c r="C7" t="s">
        <v>224</v>
      </c>
      <c r="D7" t="s">
        <v>18</v>
      </c>
      <c r="E7" t="s">
        <v>260</v>
      </c>
      <c r="F7" t="s">
        <v>260</v>
      </c>
      <c r="H7" t="s">
        <v>287</v>
      </c>
      <c r="I7">
        <v>1006110</v>
      </c>
      <c r="J7">
        <v>800</v>
      </c>
      <c r="O7" t="s">
        <v>286</v>
      </c>
    </row>
    <row r="8" spans="1:16" x14ac:dyDescent="0.25">
      <c r="A8" s="3">
        <v>44399.585690972221</v>
      </c>
      <c r="B8" t="s">
        <v>234</v>
      </c>
      <c r="C8" t="s">
        <v>224</v>
      </c>
      <c r="D8" t="s">
        <v>18</v>
      </c>
      <c r="E8" t="s">
        <v>260</v>
      </c>
      <c r="F8" t="s">
        <v>260</v>
      </c>
      <c r="H8" t="s">
        <v>287</v>
      </c>
      <c r="O8" t="s">
        <v>286</v>
      </c>
    </row>
    <row r="9" spans="1:16" x14ac:dyDescent="0.25">
      <c r="A9" s="3">
        <v>44399.585690972221</v>
      </c>
      <c r="B9" t="s">
        <v>234</v>
      </c>
      <c r="C9" t="s">
        <v>224</v>
      </c>
      <c r="D9" t="s">
        <v>18</v>
      </c>
      <c r="E9" t="s">
        <v>260</v>
      </c>
      <c r="F9" t="s">
        <v>260</v>
      </c>
      <c r="H9" t="s">
        <v>287</v>
      </c>
      <c r="O9" t="s">
        <v>286</v>
      </c>
    </row>
    <row r="10" spans="1:16" x14ac:dyDescent="0.25">
      <c r="A10" s="3">
        <v>44399.585690972221</v>
      </c>
      <c r="B10" t="s">
        <v>234</v>
      </c>
      <c r="C10" t="s">
        <v>224</v>
      </c>
      <c r="D10" t="s">
        <v>18</v>
      </c>
      <c r="E10" t="s">
        <v>260</v>
      </c>
      <c r="F10" t="s">
        <v>260</v>
      </c>
      <c r="H10" t="s">
        <v>287</v>
      </c>
      <c r="O10" t="s">
        <v>286</v>
      </c>
    </row>
    <row r="11" spans="1:16" x14ac:dyDescent="0.25">
      <c r="A11" s="3">
        <v>44399.585690972221</v>
      </c>
      <c r="B11" t="s">
        <v>234</v>
      </c>
      <c r="C11" t="s">
        <v>224</v>
      </c>
      <c r="D11" t="s">
        <v>18</v>
      </c>
      <c r="E11" t="s">
        <v>252</v>
      </c>
      <c r="F11" t="s">
        <v>257</v>
      </c>
      <c r="H11" t="s">
        <v>287</v>
      </c>
      <c r="O11" t="s">
        <v>286</v>
      </c>
    </row>
    <row r="12" spans="1:16" x14ac:dyDescent="0.25">
      <c r="A12" s="3">
        <v>44399.585690972221</v>
      </c>
      <c r="B12" t="s">
        <v>234</v>
      </c>
      <c r="C12" t="s">
        <v>224</v>
      </c>
      <c r="D12" t="s">
        <v>18</v>
      </c>
      <c r="E12" t="s">
        <v>252</v>
      </c>
      <c r="F12" t="s">
        <v>257</v>
      </c>
      <c r="H12" t="s">
        <v>287</v>
      </c>
      <c r="O12" t="s">
        <v>286</v>
      </c>
    </row>
    <row r="13" spans="1:16" x14ac:dyDescent="0.25">
      <c r="A13" s="3">
        <v>44399.585690972221</v>
      </c>
      <c r="B13" t="s">
        <v>234</v>
      </c>
      <c r="C13" t="s">
        <v>224</v>
      </c>
      <c r="D13" t="s">
        <v>18</v>
      </c>
      <c r="E13" t="s">
        <v>252</v>
      </c>
      <c r="F13" t="s">
        <v>257</v>
      </c>
      <c r="H13" t="s">
        <v>287</v>
      </c>
      <c r="O13" t="s">
        <v>286</v>
      </c>
    </row>
    <row r="14" spans="1:16" x14ac:dyDescent="0.25">
      <c r="A14" s="3">
        <v>44399.585690972221</v>
      </c>
      <c r="B14" t="s">
        <v>234</v>
      </c>
      <c r="C14" t="s">
        <v>224</v>
      </c>
      <c r="D14" t="s">
        <v>18</v>
      </c>
      <c r="E14" t="s">
        <v>252</v>
      </c>
      <c r="F14" t="s">
        <v>257</v>
      </c>
      <c r="H14" t="s">
        <v>287</v>
      </c>
      <c r="O14" t="s">
        <v>286</v>
      </c>
    </row>
    <row r="15" spans="1:16" x14ac:dyDescent="0.25">
      <c r="A15" s="3">
        <v>44399.585690972221</v>
      </c>
      <c r="B15" t="s">
        <v>234</v>
      </c>
      <c r="C15" t="s">
        <v>224</v>
      </c>
      <c r="D15" t="s">
        <v>18</v>
      </c>
      <c r="E15" t="s">
        <v>203</v>
      </c>
      <c r="F15" t="s">
        <v>11</v>
      </c>
      <c r="G15">
        <v>78</v>
      </c>
      <c r="H15" t="s">
        <v>112</v>
      </c>
      <c r="I15">
        <v>1004968</v>
      </c>
      <c r="J15">
        <v>90</v>
      </c>
      <c r="O15" t="s">
        <v>286</v>
      </c>
    </row>
    <row r="16" spans="1:16" x14ac:dyDescent="0.25">
      <c r="A16" s="3">
        <v>44399.585690972221</v>
      </c>
      <c r="B16" t="s">
        <v>234</v>
      </c>
      <c r="C16" t="s">
        <v>224</v>
      </c>
      <c r="D16" t="s">
        <v>18</v>
      </c>
      <c r="E16" t="s">
        <v>203</v>
      </c>
      <c r="F16" t="s">
        <v>11</v>
      </c>
      <c r="G16">
        <v>78</v>
      </c>
      <c r="H16" t="s">
        <v>112</v>
      </c>
      <c r="I16" t="s">
        <v>230</v>
      </c>
      <c r="J16">
        <v>380</v>
      </c>
      <c r="L16">
        <v>5</v>
      </c>
      <c r="O16" t="s">
        <v>286</v>
      </c>
      <c r="P16" t="s">
        <v>282</v>
      </c>
    </row>
    <row r="17" spans="1:15" x14ac:dyDescent="0.25">
      <c r="A17" s="3">
        <v>44399.585690972221</v>
      </c>
      <c r="B17" t="s">
        <v>234</v>
      </c>
      <c r="C17" t="s">
        <v>224</v>
      </c>
      <c r="D17" t="s">
        <v>18</v>
      </c>
      <c r="E17" t="s">
        <v>203</v>
      </c>
      <c r="F17" t="s">
        <v>12</v>
      </c>
      <c r="H17" t="s">
        <v>287</v>
      </c>
      <c r="O17" t="s">
        <v>286</v>
      </c>
    </row>
    <row r="18" spans="1:15" x14ac:dyDescent="0.25">
      <c r="A18" s="3">
        <v>44399.585690972221</v>
      </c>
      <c r="B18" t="s">
        <v>234</v>
      </c>
      <c r="C18" t="s">
        <v>224</v>
      </c>
      <c r="D18" t="s">
        <v>18</v>
      </c>
      <c r="E18" t="s">
        <v>203</v>
      </c>
      <c r="F18" t="s">
        <v>12</v>
      </c>
      <c r="H18" t="s">
        <v>287</v>
      </c>
      <c r="O18" t="s">
        <v>286</v>
      </c>
    </row>
    <row r="19" spans="1:15" x14ac:dyDescent="0.25">
      <c r="A19" s="3">
        <v>44399.585690972221</v>
      </c>
      <c r="B19" t="s">
        <v>234</v>
      </c>
      <c r="C19" t="s">
        <v>224</v>
      </c>
      <c r="D19" t="s">
        <v>18</v>
      </c>
      <c r="E19" t="s">
        <v>203</v>
      </c>
      <c r="F19" t="s">
        <v>13</v>
      </c>
      <c r="G19">
        <v>121</v>
      </c>
      <c r="H19" t="s">
        <v>155</v>
      </c>
      <c r="I19">
        <v>1006110</v>
      </c>
      <c r="J19">
        <v>345</v>
      </c>
      <c r="O19" t="s">
        <v>286</v>
      </c>
    </row>
    <row r="20" spans="1:15" x14ac:dyDescent="0.25">
      <c r="A20" s="3">
        <v>44399.585690972221</v>
      </c>
      <c r="B20" t="s">
        <v>234</v>
      </c>
      <c r="C20" t="s">
        <v>224</v>
      </c>
      <c r="D20" t="s">
        <v>18</v>
      </c>
      <c r="E20" t="s">
        <v>203</v>
      </c>
      <c r="F20" t="s">
        <v>13</v>
      </c>
      <c r="H20" t="s">
        <v>287</v>
      </c>
      <c r="O20" t="s">
        <v>286</v>
      </c>
    </row>
    <row r="21" spans="1:15" x14ac:dyDescent="0.25">
      <c r="A21" s="3">
        <v>44399.585690972221</v>
      </c>
      <c r="B21" t="s">
        <v>234</v>
      </c>
      <c r="C21" t="s">
        <v>224</v>
      </c>
      <c r="D21" t="s">
        <v>18</v>
      </c>
      <c r="E21" t="s">
        <v>203</v>
      </c>
      <c r="F21" t="s">
        <v>225</v>
      </c>
      <c r="G21">
        <v>108</v>
      </c>
      <c r="H21" t="s">
        <v>142</v>
      </c>
      <c r="I21">
        <v>1006110</v>
      </c>
      <c r="J21">
        <v>450</v>
      </c>
      <c r="L21">
        <v>6</v>
      </c>
      <c r="O21" t="s">
        <v>286</v>
      </c>
    </row>
    <row r="22" spans="1:15" x14ac:dyDescent="0.25">
      <c r="A22" s="3">
        <v>44399.585690972221</v>
      </c>
      <c r="B22" t="s">
        <v>234</v>
      </c>
      <c r="C22" t="s">
        <v>224</v>
      </c>
      <c r="D22" t="s">
        <v>18</v>
      </c>
      <c r="E22" t="s">
        <v>203</v>
      </c>
      <c r="F22" t="s">
        <v>225</v>
      </c>
      <c r="H22" t="s">
        <v>287</v>
      </c>
      <c r="O22" t="s">
        <v>286</v>
      </c>
    </row>
    <row r="23" spans="1:15" x14ac:dyDescent="0.25">
      <c r="A23" s="3">
        <v>44399.585690972221</v>
      </c>
      <c r="B23" t="s">
        <v>234</v>
      </c>
      <c r="C23" t="s">
        <v>224</v>
      </c>
      <c r="D23" t="s">
        <v>18</v>
      </c>
      <c r="E23" t="s">
        <v>238</v>
      </c>
      <c r="F23" t="s">
        <v>238</v>
      </c>
      <c r="G23">
        <v>113</v>
      </c>
      <c r="H23" t="s">
        <v>147</v>
      </c>
      <c r="I23">
        <v>1004968</v>
      </c>
      <c r="J23">
        <v>400</v>
      </c>
      <c r="O23" t="s">
        <v>286</v>
      </c>
    </row>
    <row r="24" spans="1:15" x14ac:dyDescent="0.25">
      <c r="A24" s="3">
        <v>44399.585690972221</v>
      </c>
      <c r="B24" t="s">
        <v>234</v>
      </c>
      <c r="C24" t="s">
        <v>224</v>
      </c>
      <c r="D24" t="s">
        <v>18</v>
      </c>
      <c r="E24" t="s">
        <v>238</v>
      </c>
      <c r="F24" t="s">
        <v>238</v>
      </c>
      <c r="G24">
        <v>113</v>
      </c>
      <c r="H24" t="s">
        <v>147</v>
      </c>
      <c r="I24">
        <v>1006110</v>
      </c>
      <c r="J24">
        <v>200</v>
      </c>
      <c r="L24">
        <v>2</v>
      </c>
      <c r="O24" t="s">
        <v>286</v>
      </c>
    </row>
    <row r="25" spans="1:15" x14ac:dyDescent="0.25">
      <c r="A25" s="3">
        <v>44399.585690972221</v>
      </c>
      <c r="B25" t="s">
        <v>234</v>
      </c>
      <c r="C25" t="s">
        <v>224</v>
      </c>
      <c r="D25" t="s">
        <v>18</v>
      </c>
      <c r="E25" t="s">
        <v>238</v>
      </c>
      <c r="F25" t="s">
        <v>238</v>
      </c>
      <c r="H25" t="s">
        <v>287</v>
      </c>
      <c r="O25" t="s">
        <v>286</v>
      </c>
    </row>
    <row r="26" spans="1:15" x14ac:dyDescent="0.25">
      <c r="A26" s="3">
        <v>44399.585690972221</v>
      </c>
      <c r="B26" t="s">
        <v>234</v>
      </c>
      <c r="C26" t="s">
        <v>224</v>
      </c>
      <c r="D26" t="s">
        <v>18</v>
      </c>
      <c r="E26" t="s">
        <v>238</v>
      </c>
      <c r="F26" t="s">
        <v>238</v>
      </c>
      <c r="H26" t="s">
        <v>287</v>
      </c>
      <c r="O26" t="s">
        <v>286</v>
      </c>
    </row>
    <row r="27" spans="1:15" x14ac:dyDescent="0.25">
      <c r="A27" s="3">
        <v>44399.585690972221</v>
      </c>
      <c r="B27" t="s">
        <v>234</v>
      </c>
      <c r="C27" t="s">
        <v>224</v>
      </c>
      <c r="D27" t="s">
        <v>18</v>
      </c>
      <c r="E27" t="s">
        <v>238</v>
      </c>
      <c r="F27" t="s">
        <v>238</v>
      </c>
      <c r="H27" t="s">
        <v>287</v>
      </c>
      <c r="O27" t="s">
        <v>286</v>
      </c>
    </row>
    <row r="28" spans="1:15" x14ac:dyDescent="0.25">
      <c r="A28" s="3">
        <v>44399.585690972221</v>
      </c>
      <c r="B28" t="s">
        <v>234</v>
      </c>
      <c r="C28" t="s">
        <v>224</v>
      </c>
      <c r="D28" t="s">
        <v>18</v>
      </c>
      <c r="E28" t="s">
        <v>238</v>
      </c>
      <c r="F28" t="s">
        <v>238</v>
      </c>
      <c r="H28" t="s">
        <v>287</v>
      </c>
      <c r="O28" t="s">
        <v>286</v>
      </c>
    </row>
    <row r="29" spans="1:15" x14ac:dyDescent="0.25">
      <c r="A29" s="3">
        <v>44399.585690972221</v>
      </c>
      <c r="B29" t="s">
        <v>234</v>
      </c>
      <c r="C29" t="s">
        <v>224</v>
      </c>
      <c r="D29" t="s">
        <v>18</v>
      </c>
      <c r="E29" t="s">
        <v>238</v>
      </c>
      <c r="F29" t="s">
        <v>238</v>
      </c>
      <c r="H29" t="s">
        <v>287</v>
      </c>
      <c r="O29" t="s">
        <v>286</v>
      </c>
    </row>
    <row r="30" spans="1:15" x14ac:dyDescent="0.25">
      <c r="A30" s="3">
        <v>44399.585690972221</v>
      </c>
      <c r="B30" t="s">
        <v>234</v>
      </c>
      <c r="C30" t="s">
        <v>224</v>
      </c>
      <c r="D30" t="s">
        <v>18</v>
      </c>
      <c r="E30" t="s">
        <v>238</v>
      </c>
      <c r="F30" t="s">
        <v>238</v>
      </c>
      <c r="H30" t="s">
        <v>287</v>
      </c>
      <c r="O30" t="s">
        <v>286</v>
      </c>
    </row>
    <row r="31" spans="1:15" x14ac:dyDescent="0.25">
      <c r="A31" s="3">
        <v>44399.585690972221</v>
      </c>
      <c r="B31" t="s">
        <v>234</v>
      </c>
      <c r="C31" t="s">
        <v>224</v>
      </c>
      <c r="D31" t="s">
        <v>18</v>
      </c>
      <c r="E31" t="s">
        <v>238</v>
      </c>
      <c r="F31" t="s">
        <v>238</v>
      </c>
      <c r="H31" t="s">
        <v>287</v>
      </c>
      <c r="O31" t="s">
        <v>286</v>
      </c>
    </row>
    <row r="32" spans="1:15" x14ac:dyDescent="0.25">
      <c r="A32" s="3">
        <v>44399.585690972221</v>
      </c>
      <c r="B32" t="s">
        <v>234</v>
      </c>
      <c r="C32" t="s">
        <v>224</v>
      </c>
      <c r="D32" t="s">
        <v>18</v>
      </c>
      <c r="E32" t="s">
        <v>239</v>
      </c>
      <c r="F32" t="s">
        <v>240</v>
      </c>
      <c r="G32">
        <v>29</v>
      </c>
      <c r="H32" t="s">
        <v>63</v>
      </c>
      <c r="I32">
        <v>1004968</v>
      </c>
      <c r="J32">
        <v>350</v>
      </c>
      <c r="O32" t="s">
        <v>286</v>
      </c>
    </row>
    <row r="33" spans="1:16" x14ac:dyDescent="0.25">
      <c r="A33" s="3">
        <v>44399.585690972221</v>
      </c>
      <c r="B33" t="s">
        <v>234</v>
      </c>
      <c r="C33" t="s">
        <v>224</v>
      </c>
      <c r="D33" t="s">
        <v>18</v>
      </c>
      <c r="E33" t="s">
        <v>239</v>
      </c>
      <c r="F33" t="s">
        <v>240</v>
      </c>
      <c r="H33" t="s">
        <v>287</v>
      </c>
      <c r="O33" t="s">
        <v>286</v>
      </c>
    </row>
    <row r="34" spans="1:16" x14ac:dyDescent="0.25">
      <c r="A34" s="3">
        <v>44399.585690972221</v>
      </c>
      <c r="B34" t="s">
        <v>234</v>
      </c>
      <c r="C34" t="s">
        <v>224</v>
      </c>
      <c r="D34" t="s">
        <v>18</v>
      </c>
      <c r="E34" t="s">
        <v>239</v>
      </c>
      <c r="F34" t="s">
        <v>241</v>
      </c>
      <c r="G34">
        <v>49</v>
      </c>
      <c r="H34" t="s">
        <v>83</v>
      </c>
      <c r="I34" t="s">
        <v>230</v>
      </c>
      <c r="J34">
        <v>135</v>
      </c>
      <c r="O34" t="s">
        <v>286</v>
      </c>
      <c r="P34" t="s">
        <v>284</v>
      </c>
    </row>
    <row r="35" spans="1:16" x14ac:dyDescent="0.25">
      <c r="A35" s="3">
        <v>44399.585690972221</v>
      </c>
      <c r="B35" t="s">
        <v>234</v>
      </c>
      <c r="C35" t="s">
        <v>224</v>
      </c>
      <c r="D35" t="s">
        <v>18</v>
      </c>
      <c r="E35" t="s">
        <v>239</v>
      </c>
      <c r="F35" t="s">
        <v>241</v>
      </c>
      <c r="G35">
        <v>114</v>
      </c>
      <c r="H35" t="s">
        <v>148</v>
      </c>
      <c r="I35" t="s">
        <v>230</v>
      </c>
      <c r="O35" t="s">
        <v>286</v>
      </c>
      <c r="P35" t="s">
        <v>283</v>
      </c>
    </row>
    <row r="36" spans="1:16" x14ac:dyDescent="0.25">
      <c r="A36" s="3">
        <v>44399.585690972221</v>
      </c>
      <c r="B36" t="s">
        <v>234</v>
      </c>
      <c r="C36" t="s">
        <v>224</v>
      </c>
      <c r="D36" t="s">
        <v>18</v>
      </c>
      <c r="E36" t="s">
        <v>239</v>
      </c>
      <c r="F36" t="s">
        <v>241</v>
      </c>
      <c r="H36" t="s">
        <v>287</v>
      </c>
      <c r="O36" t="s">
        <v>286</v>
      </c>
    </row>
    <row r="37" spans="1:16" x14ac:dyDescent="0.25">
      <c r="A37" s="3">
        <v>44399.585690972221</v>
      </c>
      <c r="B37" t="s">
        <v>234</v>
      </c>
      <c r="C37" t="s">
        <v>224</v>
      </c>
      <c r="D37" t="s">
        <v>18</v>
      </c>
      <c r="E37" t="s">
        <v>239</v>
      </c>
      <c r="F37" t="s">
        <v>243</v>
      </c>
      <c r="G37">
        <v>116</v>
      </c>
      <c r="H37" t="s">
        <v>150</v>
      </c>
      <c r="I37">
        <v>1006110</v>
      </c>
      <c r="O37" t="s">
        <v>286</v>
      </c>
    </row>
    <row r="38" spans="1:16" x14ac:dyDescent="0.25">
      <c r="A38" s="3">
        <v>44399.585690972221</v>
      </c>
      <c r="B38" t="s">
        <v>234</v>
      </c>
      <c r="C38" t="s">
        <v>224</v>
      </c>
      <c r="D38" t="s">
        <v>18</v>
      </c>
      <c r="E38" t="s">
        <v>239</v>
      </c>
      <c r="F38" t="s">
        <v>242</v>
      </c>
      <c r="G38">
        <v>170</v>
      </c>
      <c r="H38" t="s">
        <v>218</v>
      </c>
      <c r="I38">
        <v>1006110</v>
      </c>
      <c r="J38">
        <v>121</v>
      </c>
      <c r="O38" t="s">
        <v>286</v>
      </c>
    </row>
    <row r="39" spans="1:16" x14ac:dyDescent="0.25">
      <c r="A39" s="3">
        <v>44399.585690972221</v>
      </c>
      <c r="B39" t="s">
        <v>234</v>
      </c>
      <c r="C39" t="s">
        <v>224</v>
      </c>
      <c r="D39" t="s">
        <v>18</v>
      </c>
      <c r="E39" t="s">
        <v>239</v>
      </c>
      <c r="F39" t="s">
        <v>242</v>
      </c>
      <c r="G39">
        <v>88</v>
      </c>
      <c r="H39" t="s">
        <v>122</v>
      </c>
      <c r="I39">
        <v>1006110</v>
      </c>
      <c r="J39">
        <v>113</v>
      </c>
      <c r="O39" t="s">
        <v>286</v>
      </c>
    </row>
    <row r="40" spans="1:16" x14ac:dyDescent="0.25">
      <c r="A40" s="3">
        <v>44399.585690972221</v>
      </c>
      <c r="B40" t="s">
        <v>234</v>
      </c>
      <c r="C40" t="s">
        <v>224</v>
      </c>
      <c r="D40" t="s">
        <v>18</v>
      </c>
      <c r="E40" t="s">
        <v>239</v>
      </c>
      <c r="F40" t="s">
        <v>242</v>
      </c>
      <c r="G40">
        <v>114</v>
      </c>
      <c r="H40" t="s">
        <v>148</v>
      </c>
      <c r="I40">
        <v>1006110</v>
      </c>
      <c r="J40">
        <v>12</v>
      </c>
      <c r="O40" t="s">
        <v>286</v>
      </c>
    </row>
    <row r="41" spans="1:16" x14ac:dyDescent="0.25">
      <c r="A41" s="3">
        <v>44399.585690972221</v>
      </c>
      <c r="B41" t="s">
        <v>234</v>
      </c>
      <c r="C41" t="s">
        <v>224</v>
      </c>
      <c r="D41" t="s">
        <v>18</v>
      </c>
      <c r="E41" t="s">
        <v>239</v>
      </c>
      <c r="F41" t="s">
        <v>242</v>
      </c>
      <c r="H41" t="s">
        <v>287</v>
      </c>
      <c r="O41" t="s">
        <v>286</v>
      </c>
    </row>
    <row r="42" spans="1:16" x14ac:dyDescent="0.25">
      <c r="A42" s="3">
        <v>44399.585690972221</v>
      </c>
      <c r="B42" t="s">
        <v>234</v>
      </c>
      <c r="C42" t="s">
        <v>224</v>
      </c>
      <c r="D42" t="s">
        <v>18</v>
      </c>
      <c r="E42" t="s">
        <v>239</v>
      </c>
      <c r="F42" t="s">
        <v>243</v>
      </c>
      <c r="H42" t="s">
        <v>287</v>
      </c>
      <c r="O42" t="s">
        <v>286</v>
      </c>
    </row>
    <row r="43" spans="1:16" x14ac:dyDescent="0.25">
      <c r="A43" s="3">
        <v>44399.585690972221</v>
      </c>
      <c r="B43" t="s">
        <v>234</v>
      </c>
      <c r="C43" t="s">
        <v>224</v>
      </c>
      <c r="D43" t="s">
        <v>18</v>
      </c>
      <c r="E43" t="s">
        <v>239</v>
      </c>
      <c r="F43" t="s">
        <v>242</v>
      </c>
      <c r="H43" t="s">
        <v>287</v>
      </c>
      <c r="O43" t="s">
        <v>286</v>
      </c>
    </row>
    <row r="44" spans="1:16" x14ac:dyDescent="0.25">
      <c r="A44" s="3">
        <v>44399.585690972221</v>
      </c>
      <c r="B44" t="s">
        <v>234</v>
      </c>
      <c r="C44" t="s">
        <v>224</v>
      </c>
      <c r="D44" t="s">
        <v>18</v>
      </c>
      <c r="E44" t="s">
        <v>239</v>
      </c>
      <c r="F44" t="s">
        <v>242</v>
      </c>
      <c r="H44" t="s">
        <v>287</v>
      </c>
      <c r="O44" t="s">
        <v>286</v>
      </c>
    </row>
    <row r="45" spans="1:16" x14ac:dyDescent="0.25">
      <c r="A45" s="3">
        <v>44399.585690972221</v>
      </c>
      <c r="B45" t="s">
        <v>234</v>
      </c>
      <c r="C45" t="s">
        <v>224</v>
      </c>
      <c r="D45" t="s">
        <v>18</v>
      </c>
      <c r="E45" t="s">
        <v>239</v>
      </c>
      <c r="F45" t="s">
        <v>242</v>
      </c>
      <c r="H45" t="s">
        <v>287</v>
      </c>
      <c r="O45" t="s">
        <v>286</v>
      </c>
    </row>
    <row r="46" spans="1:16" x14ac:dyDescent="0.25">
      <c r="A46" s="3">
        <v>44399.585690972221</v>
      </c>
      <c r="B46" t="s">
        <v>234</v>
      </c>
      <c r="C46" t="s">
        <v>224</v>
      </c>
      <c r="D46" t="s">
        <v>18</v>
      </c>
      <c r="E46" t="s">
        <v>239</v>
      </c>
      <c r="F46" t="s">
        <v>242</v>
      </c>
      <c r="H46" t="s">
        <v>287</v>
      </c>
      <c r="O46" t="s">
        <v>286</v>
      </c>
    </row>
    <row r="47" spans="1:16" x14ac:dyDescent="0.25">
      <c r="A47" s="3">
        <v>44399.585690972221</v>
      </c>
      <c r="B47" t="s">
        <v>234</v>
      </c>
      <c r="C47" t="s">
        <v>224</v>
      </c>
      <c r="D47" t="s">
        <v>18</v>
      </c>
      <c r="E47" t="s">
        <v>239</v>
      </c>
      <c r="F47" t="s">
        <v>244</v>
      </c>
      <c r="G47">
        <v>18</v>
      </c>
      <c r="H47" t="s">
        <v>52</v>
      </c>
      <c r="I47">
        <v>1006110</v>
      </c>
      <c r="O47" t="s">
        <v>286</v>
      </c>
    </row>
    <row r="48" spans="1:16" x14ac:dyDescent="0.25">
      <c r="A48" s="3">
        <v>44399.585690972221</v>
      </c>
      <c r="B48" t="s">
        <v>234</v>
      </c>
      <c r="C48" t="s">
        <v>224</v>
      </c>
      <c r="D48" t="s">
        <v>18</v>
      </c>
      <c r="E48" t="s">
        <v>239</v>
      </c>
      <c r="F48" t="s">
        <v>245</v>
      </c>
      <c r="G48">
        <v>89</v>
      </c>
      <c r="H48" t="s">
        <v>123</v>
      </c>
      <c r="I48">
        <v>1006110</v>
      </c>
      <c r="J48">
        <v>130</v>
      </c>
      <c r="K48">
        <v>1</v>
      </c>
      <c r="O48" t="s">
        <v>286</v>
      </c>
    </row>
    <row r="49" spans="1:16" x14ac:dyDescent="0.25">
      <c r="A49" s="3">
        <v>44399.585690972221</v>
      </c>
      <c r="B49" t="s">
        <v>234</v>
      </c>
      <c r="C49" t="s">
        <v>224</v>
      </c>
      <c r="D49" t="s">
        <v>18</v>
      </c>
      <c r="E49" t="s">
        <v>239</v>
      </c>
      <c r="F49" t="s">
        <v>245</v>
      </c>
      <c r="G49">
        <v>172</v>
      </c>
      <c r="H49" t="s">
        <v>220</v>
      </c>
      <c r="I49">
        <v>1006110</v>
      </c>
      <c r="J49">
        <v>121</v>
      </c>
      <c r="K49">
        <v>2</v>
      </c>
      <c r="O49" t="s">
        <v>286</v>
      </c>
    </row>
    <row r="50" spans="1:16" x14ac:dyDescent="0.25">
      <c r="A50" s="3">
        <v>44399.585690972221</v>
      </c>
      <c r="B50" t="s">
        <v>234</v>
      </c>
      <c r="C50" t="s">
        <v>224</v>
      </c>
      <c r="D50" t="s">
        <v>18</v>
      </c>
      <c r="E50" t="s">
        <v>239</v>
      </c>
      <c r="F50" t="s">
        <v>245</v>
      </c>
      <c r="H50" t="s">
        <v>287</v>
      </c>
      <c r="O50" t="s">
        <v>286</v>
      </c>
    </row>
    <row r="51" spans="1:16" x14ac:dyDescent="0.25">
      <c r="A51" s="3">
        <v>44399.585690972221</v>
      </c>
      <c r="B51" t="s">
        <v>234</v>
      </c>
      <c r="C51" t="s">
        <v>224</v>
      </c>
      <c r="D51" t="s">
        <v>18</v>
      </c>
      <c r="E51" t="s">
        <v>239</v>
      </c>
      <c r="F51" t="s">
        <v>245</v>
      </c>
      <c r="H51" t="s">
        <v>287</v>
      </c>
      <c r="O51" t="s">
        <v>286</v>
      </c>
    </row>
    <row r="52" spans="1:16" x14ac:dyDescent="0.25">
      <c r="A52" s="3">
        <v>44399.585690972221</v>
      </c>
      <c r="B52" t="s">
        <v>234</v>
      </c>
      <c r="C52" t="s">
        <v>224</v>
      </c>
      <c r="D52" t="s">
        <v>18</v>
      </c>
      <c r="E52" t="s">
        <v>239</v>
      </c>
      <c r="F52" t="s">
        <v>246</v>
      </c>
      <c r="H52" t="s">
        <v>287</v>
      </c>
      <c r="O52" t="s">
        <v>286</v>
      </c>
    </row>
    <row r="53" spans="1:16" x14ac:dyDescent="0.25">
      <c r="A53" s="3">
        <v>44399.585690972221</v>
      </c>
      <c r="B53" t="s">
        <v>234</v>
      </c>
      <c r="C53" t="s">
        <v>224</v>
      </c>
      <c r="D53" t="s">
        <v>18</v>
      </c>
      <c r="E53" t="s">
        <v>239</v>
      </c>
      <c r="F53" t="s">
        <v>247</v>
      </c>
      <c r="H53" t="s">
        <v>287</v>
      </c>
      <c r="O53" t="s">
        <v>286</v>
      </c>
    </row>
    <row r="54" spans="1:16" x14ac:dyDescent="0.25">
      <c r="A54" s="3">
        <v>44399.585690972221</v>
      </c>
      <c r="B54" t="s">
        <v>234</v>
      </c>
      <c r="C54" t="s">
        <v>224</v>
      </c>
      <c r="D54" t="s">
        <v>18</v>
      </c>
      <c r="E54" t="s">
        <v>239</v>
      </c>
      <c r="F54" t="s">
        <v>247</v>
      </c>
      <c r="H54" t="s">
        <v>287</v>
      </c>
      <c r="O54" t="s">
        <v>286</v>
      </c>
    </row>
    <row r="55" spans="1:16" x14ac:dyDescent="0.25">
      <c r="A55" s="3">
        <v>44399.585690972221</v>
      </c>
      <c r="B55" t="s">
        <v>234</v>
      </c>
      <c r="C55" t="s">
        <v>224</v>
      </c>
      <c r="D55" t="s">
        <v>18</v>
      </c>
      <c r="E55" t="s">
        <v>239</v>
      </c>
      <c r="F55" t="s">
        <v>247</v>
      </c>
      <c r="H55" t="s">
        <v>287</v>
      </c>
      <c r="O55" t="s">
        <v>286</v>
      </c>
    </row>
    <row r="56" spans="1:16" x14ac:dyDescent="0.25">
      <c r="A56" s="3">
        <v>44399.585690972221</v>
      </c>
      <c r="B56" t="s">
        <v>234</v>
      </c>
      <c r="C56" t="s">
        <v>224</v>
      </c>
      <c r="D56" t="s">
        <v>18</v>
      </c>
      <c r="E56" t="s">
        <v>239</v>
      </c>
      <c r="F56" t="s">
        <v>247</v>
      </c>
      <c r="H56" t="s">
        <v>287</v>
      </c>
      <c r="O56" t="s">
        <v>286</v>
      </c>
    </row>
    <row r="57" spans="1:16" x14ac:dyDescent="0.25">
      <c r="A57" s="3">
        <v>44399.585690972221</v>
      </c>
      <c r="B57" t="s">
        <v>234</v>
      </c>
      <c r="C57" t="s">
        <v>224</v>
      </c>
      <c r="D57" t="s">
        <v>18</v>
      </c>
      <c r="E57" t="s">
        <v>248</v>
      </c>
      <c r="F57" t="s">
        <v>255</v>
      </c>
      <c r="G57">
        <v>160</v>
      </c>
      <c r="H57" t="s">
        <v>194</v>
      </c>
      <c r="I57" t="s">
        <v>277</v>
      </c>
      <c r="J57">
        <v>6389</v>
      </c>
      <c r="N57">
        <v>2</v>
      </c>
      <c r="O57" t="s">
        <v>207</v>
      </c>
      <c r="P57" t="s">
        <v>285</v>
      </c>
    </row>
    <row r="58" spans="1:16" x14ac:dyDescent="0.25">
      <c r="A58" s="3">
        <v>44399.585690972221</v>
      </c>
      <c r="B58" t="s">
        <v>234</v>
      </c>
      <c r="C58" t="s">
        <v>224</v>
      </c>
      <c r="D58" t="s">
        <v>18</v>
      </c>
      <c r="E58" t="s">
        <v>248</v>
      </c>
      <c r="F58" t="s">
        <v>255</v>
      </c>
      <c r="H58" t="s">
        <v>287</v>
      </c>
      <c r="O58" t="s">
        <v>286</v>
      </c>
    </row>
    <row r="59" spans="1:16" x14ac:dyDescent="0.25">
      <c r="A59" s="3">
        <v>44399.585690972221</v>
      </c>
      <c r="B59" t="s">
        <v>234</v>
      </c>
      <c r="C59" t="s">
        <v>224</v>
      </c>
      <c r="D59" t="s">
        <v>18</v>
      </c>
      <c r="E59" t="s">
        <v>249</v>
      </c>
      <c r="F59" t="s">
        <v>255</v>
      </c>
      <c r="G59">
        <v>107</v>
      </c>
      <c r="H59" t="s">
        <v>141</v>
      </c>
      <c r="I59">
        <v>1004968</v>
      </c>
      <c r="J59">
        <v>300</v>
      </c>
      <c r="O59" t="s">
        <v>286</v>
      </c>
    </row>
    <row r="60" spans="1:16" x14ac:dyDescent="0.25">
      <c r="A60" s="3">
        <v>44399.585690972221</v>
      </c>
      <c r="B60" t="s">
        <v>234</v>
      </c>
      <c r="C60" t="s">
        <v>224</v>
      </c>
      <c r="D60" t="s">
        <v>18</v>
      </c>
      <c r="E60" t="s">
        <v>249</v>
      </c>
      <c r="F60" t="s">
        <v>255</v>
      </c>
      <c r="G60">
        <v>20</v>
      </c>
      <c r="H60" t="s">
        <v>54</v>
      </c>
      <c r="I60">
        <v>1006110</v>
      </c>
      <c r="J60">
        <v>350</v>
      </c>
      <c r="O60" t="s">
        <v>286</v>
      </c>
    </row>
    <row r="61" spans="1:16" x14ac:dyDescent="0.25">
      <c r="A61" s="3">
        <v>44399.585690972221</v>
      </c>
      <c r="B61" t="s">
        <v>234</v>
      </c>
      <c r="C61" t="s">
        <v>224</v>
      </c>
      <c r="D61" t="s">
        <v>18</v>
      </c>
      <c r="E61" t="s">
        <v>249</v>
      </c>
      <c r="F61" t="s">
        <v>255</v>
      </c>
      <c r="H61" t="s">
        <v>287</v>
      </c>
      <c r="O61" t="s">
        <v>286</v>
      </c>
    </row>
    <row r="62" spans="1:16" x14ac:dyDescent="0.25">
      <c r="A62" s="3">
        <v>44399.585690972221</v>
      </c>
      <c r="B62" t="s">
        <v>234</v>
      </c>
      <c r="C62" t="s">
        <v>224</v>
      </c>
      <c r="D62" t="s">
        <v>18</v>
      </c>
      <c r="E62" t="s">
        <v>249</v>
      </c>
      <c r="F62" t="s">
        <v>255</v>
      </c>
      <c r="H62" t="s">
        <v>287</v>
      </c>
      <c r="O62" t="s">
        <v>286</v>
      </c>
    </row>
    <row r="63" spans="1:16" x14ac:dyDescent="0.25">
      <c r="A63" s="3">
        <v>44399.585690972221</v>
      </c>
      <c r="B63" t="s">
        <v>234</v>
      </c>
      <c r="C63" t="s">
        <v>224</v>
      </c>
      <c r="D63" t="s">
        <v>18</v>
      </c>
      <c r="E63" t="s">
        <v>249</v>
      </c>
      <c r="F63" t="s">
        <v>255</v>
      </c>
      <c r="H63" t="s">
        <v>287</v>
      </c>
      <c r="O63" t="s">
        <v>286</v>
      </c>
    </row>
    <row r="64" spans="1:16" x14ac:dyDescent="0.25">
      <c r="A64" s="3">
        <v>44399.585690972221</v>
      </c>
      <c r="B64" t="s">
        <v>234</v>
      </c>
      <c r="C64" t="s">
        <v>224</v>
      </c>
      <c r="D64" t="s">
        <v>18</v>
      </c>
      <c r="E64" t="s">
        <v>249</v>
      </c>
      <c r="F64" t="s">
        <v>255</v>
      </c>
      <c r="H64" t="s">
        <v>287</v>
      </c>
      <c r="O64" t="s">
        <v>286</v>
      </c>
    </row>
    <row r="65" spans="1:15" x14ac:dyDescent="0.25">
      <c r="A65" s="3">
        <v>44399.585690972221</v>
      </c>
      <c r="B65" t="s">
        <v>234</v>
      </c>
      <c r="C65" t="s">
        <v>224</v>
      </c>
      <c r="D65" t="s">
        <v>18</v>
      </c>
      <c r="E65" t="s">
        <v>250</v>
      </c>
      <c r="F65" t="s">
        <v>256</v>
      </c>
      <c r="H65" t="s">
        <v>287</v>
      </c>
      <c r="O65" t="s">
        <v>286</v>
      </c>
    </row>
    <row r="66" spans="1:15" x14ac:dyDescent="0.25">
      <c r="A66" s="3">
        <v>44399.585690972221</v>
      </c>
      <c r="B66" t="s">
        <v>234</v>
      </c>
      <c r="C66" t="s">
        <v>224</v>
      </c>
      <c r="D66" t="s">
        <v>18</v>
      </c>
      <c r="E66" t="s">
        <v>261</v>
      </c>
      <c r="F66" t="s">
        <v>255</v>
      </c>
      <c r="G66">
        <v>115</v>
      </c>
      <c r="H66" t="s">
        <v>149</v>
      </c>
      <c r="I66">
        <v>6518223</v>
      </c>
      <c r="J66">
        <v>145</v>
      </c>
      <c r="O66" t="s">
        <v>286</v>
      </c>
    </row>
    <row r="67" spans="1:15" x14ac:dyDescent="0.25">
      <c r="A67" s="3">
        <v>44399.585690972221</v>
      </c>
      <c r="B67" t="s">
        <v>234</v>
      </c>
      <c r="C67" t="s">
        <v>224</v>
      </c>
      <c r="D67" t="s">
        <v>18</v>
      </c>
      <c r="E67" t="s">
        <v>261</v>
      </c>
      <c r="F67" t="s">
        <v>255</v>
      </c>
      <c r="H67" t="s">
        <v>287</v>
      </c>
      <c r="O67" t="s">
        <v>286</v>
      </c>
    </row>
    <row r="68" spans="1:15" x14ac:dyDescent="0.25">
      <c r="A68" s="3">
        <v>44399.585690972221</v>
      </c>
      <c r="B68" t="s">
        <v>234</v>
      </c>
      <c r="C68" t="s">
        <v>224</v>
      </c>
      <c r="D68" t="s">
        <v>18</v>
      </c>
      <c r="E68" t="s">
        <v>251</v>
      </c>
      <c r="F68" t="s">
        <v>255</v>
      </c>
      <c r="G68">
        <v>107</v>
      </c>
      <c r="H68" t="s">
        <v>141</v>
      </c>
      <c r="I68">
        <v>1004968</v>
      </c>
      <c r="J68">
        <v>300</v>
      </c>
      <c r="O68" t="s">
        <v>286</v>
      </c>
    </row>
    <row r="69" spans="1:15" x14ac:dyDescent="0.25">
      <c r="A69" s="3">
        <v>44399.585690972221</v>
      </c>
      <c r="B69" t="s">
        <v>234</v>
      </c>
      <c r="C69" t="s">
        <v>224</v>
      </c>
      <c r="D69" t="s">
        <v>18</v>
      </c>
      <c r="E69" t="s">
        <v>251</v>
      </c>
      <c r="F69" t="s">
        <v>255</v>
      </c>
      <c r="G69">
        <v>58</v>
      </c>
      <c r="H69" t="s">
        <v>92</v>
      </c>
      <c r="I69">
        <v>1006110</v>
      </c>
      <c r="J69">
        <v>240</v>
      </c>
      <c r="O69" t="s">
        <v>286</v>
      </c>
    </row>
    <row r="70" spans="1:15" x14ac:dyDescent="0.25">
      <c r="A70" s="3">
        <v>44399.585690972221</v>
      </c>
      <c r="B70" t="s">
        <v>234</v>
      </c>
      <c r="C70" t="s">
        <v>224</v>
      </c>
      <c r="D70" t="s">
        <v>18</v>
      </c>
      <c r="E70" t="s">
        <v>251</v>
      </c>
      <c r="F70" t="s">
        <v>255</v>
      </c>
      <c r="G70">
        <v>20</v>
      </c>
      <c r="H70" t="s">
        <v>54</v>
      </c>
      <c r="I70">
        <v>1006110</v>
      </c>
      <c r="J70">
        <v>60</v>
      </c>
      <c r="O70" t="s">
        <v>286</v>
      </c>
    </row>
    <row r="71" spans="1:15" x14ac:dyDescent="0.25">
      <c r="A71" s="3">
        <v>44399.585690972221</v>
      </c>
      <c r="B71" t="s">
        <v>234</v>
      </c>
      <c r="C71" t="s">
        <v>224</v>
      </c>
      <c r="D71" t="s">
        <v>18</v>
      </c>
      <c r="E71" t="s">
        <v>251</v>
      </c>
      <c r="F71" t="s">
        <v>255</v>
      </c>
      <c r="H71" t="s">
        <v>287</v>
      </c>
      <c r="O71" t="s">
        <v>286</v>
      </c>
    </row>
    <row r="72" spans="1:15" x14ac:dyDescent="0.25">
      <c r="A72" s="3">
        <v>44399.585690972221</v>
      </c>
      <c r="B72" t="s">
        <v>234</v>
      </c>
      <c r="C72" t="s">
        <v>224</v>
      </c>
      <c r="D72" t="s">
        <v>18</v>
      </c>
      <c r="E72" t="s">
        <v>14</v>
      </c>
      <c r="F72" t="s">
        <v>258</v>
      </c>
      <c r="G72">
        <v>9</v>
      </c>
      <c r="H72" t="s">
        <v>43</v>
      </c>
      <c r="I72">
        <v>6518223</v>
      </c>
      <c r="J72">
        <v>352</v>
      </c>
      <c r="O72" t="s">
        <v>286</v>
      </c>
    </row>
    <row r="73" spans="1:15" x14ac:dyDescent="0.25">
      <c r="A73" s="3">
        <v>44399.585690972221</v>
      </c>
      <c r="B73" t="s">
        <v>234</v>
      </c>
      <c r="C73" t="s">
        <v>224</v>
      </c>
      <c r="D73" t="s">
        <v>18</v>
      </c>
      <c r="E73" t="s">
        <v>14</v>
      </c>
      <c r="F73" t="s">
        <v>258</v>
      </c>
      <c r="H73" t="s">
        <v>287</v>
      </c>
      <c r="O73" t="s">
        <v>286</v>
      </c>
    </row>
    <row r="74" spans="1:15" x14ac:dyDescent="0.25">
      <c r="A74" s="3">
        <v>44399.585690972221</v>
      </c>
      <c r="B74" t="s">
        <v>234</v>
      </c>
      <c r="C74" t="s">
        <v>224</v>
      </c>
      <c r="D74" t="s">
        <v>18</v>
      </c>
      <c r="E74" t="s">
        <v>253</v>
      </c>
      <c r="F74" t="s">
        <v>253</v>
      </c>
      <c r="G74">
        <v>140</v>
      </c>
      <c r="H74" t="s">
        <v>174</v>
      </c>
      <c r="I74">
        <v>1004968</v>
      </c>
      <c r="J74">
        <v>720</v>
      </c>
      <c r="O74" t="s">
        <v>286</v>
      </c>
    </row>
    <row r="75" spans="1:15" x14ac:dyDescent="0.25">
      <c r="A75" s="3">
        <v>44399.585690972221</v>
      </c>
      <c r="B75" t="s">
        <v>234</v>
      </c>
      <c r="C75" t="s">
        <v>224</v>
      </c>
      <c r="D75" t="s">
        <v>18</v>
      </c>
      <c r="E75" t="s">
        <v>253</v>
      </c>
      <c r="F75" t="s">
        <v>253</v>
      </c>
      <c r="G75">
        <v>140</v>
      </c>
      <c r="H75" t="s">
        <v>174</v>
      </c>
      <c r="I75">
        <v>1006110</v>
      </c>
      <c r="J75">
        <v>412</v>
      </c>
      <c r="O75" t="s">
        <v>286</v>
      </c>
    </row>
    <row r="76" spans="1:15" x14ac:dyDescent="0.25">
      <c r="A76" s="3">
        <v>44399.585690972221</v>
      </c>
      <c r="B76" t="s">
        <v>234</v>
      </c>
      <c r="C76" t="s">
        <v>224</v>
      </c>
      <c r="D76" t="s">
        <v>18</v>
      </c>
      <c r="E76" t="s">
        <v>253</v>
      </c>
      <c r="F76" t="s">
        <v>253</v>
      </c>
      <c r="H76" t="s">
        <v>287</v>
      </c>
      <c r="O76" t="s">
        <v>286</v>
      </c>
    </row>
    <row r="77" spans="1:15" x14ac:dyDescent="0.25">
      <c r="A77" s="3">
        <v>44399.585690972221</v>
      </c>
      <c r="B77" t="s">
        <v>234</v>
      </c>
      <c r="C77" t="s">
        <v>224</v>
      </c>
      <c r="D77" t="s">
        <v>18</v>
      </c>
      <c r="E77" t="s">
        <v>32</v>
      </c>
      <c r="F77" t="s">
        <v>32</v>
      </c>
      <c r="G77">
        <v>159</v>
      </c>
      <c r="H77" t="s">
        <v>193</v>
      </c>
      <c r="I77">
        <v>1004968</v>
      </c>
      <c r="J77">
        <v>720</v>
      </c>
      <c r="O77" t="s">
        <v>286</v>
      </c>
    </row>
    <row r="78" spans="1:15" x14ac:dyDescent="0.25">
      <c r="A78" s="3">
        <v>44399.585690972221</v>
      </c>
      <c r="B78" t="s">
        <v>234</v>
      </c>
      <c r="C78" t="s">
        <v>224</v>
      </c>
      <c r="D78" t="s">
        <v>18</v>
      </c>
      <c r="E78" t="s">
        <v>32</v>
      </c>
      <c r="F78" t="s">
        <v>32</v>
      </c>
      <c r="G78">
        <v>159</v>
      </c>
      <c r="H78" t="s">
        <v>193</v>
      </c>
      <c r="I78">
        <v>1006110</v>
      </c>
      <c r="J78">
        <v>400</v>
      </c>
      <c r="O78" t="s">
        <v>286</v>
      </c>
    </row>
    <row r="79" spans="1:15" x14ac:dyDescent="0.25">
      <c r="A79" s="3">
        <v>44399.585690972221</v>
      </c>
      <c r="B79" t="s">
        <v>234</v>
      </c>
      <c r="C79" t="s">
        <v>224</v>
      </c>
      <c r="D79" t="s">
        <v>18</v>
      </c>
      <c r="E79" t="s">
        <v>32</v>
      </c>
      <c r="F79" t="s">
        <v>32</v>
      </c>
      <c r="H79" t="s">
        <v>287</v>
      </c>
      <c r="O79" t="s">
        <v>286</v>
      </c>
    </row>
    <row r="80" spans="1:15" x14ac:dyDescent="0.25">
      <c r="A80" s="3">
        <v>44399.585690972221</v>
      </c>
      <c r="B80" t="s">
        <v>234</v>
      </c>
      <c r="C80" t="s">
        <v>224</v>
      </c>
      <c r="D80" t="s">
        <v>18</v>
      </c>
      <c r="E80" t="s">
        <v>254</v>
      </c>
      <c r="F80" t="s">
        <v>254</v>
      </c>
      <c r="G80">
        <v>136</v>
      </c>
      <c r="H80" t="s">
        <v>170</v>
      </c>
      <c r="I80" t="s">
        <v>230</v>
      </c>
      <c r="J80">
        <v>335</v>
      </c>
      <c r="O80" t="s">
        <v>286</v>
      </c>
    </row>
    <row r="81" spans="1:15" x14ac:dyDescent="0.25">
      <c r="A81" s="3">
        <v>44399.585690972221</v>
      </c>
      <c r="B81" t="s">
        <v>234</v>
      </c>
      <c r="C81" t="s">
        <v>224</v>
      </c>
      <c r="D81" t="s">
        <v>18</v>
      </c>
      <c r="E81" t="s">
        <v>254</v>
      </c>
      <c r="F81" t="s">
        <v>254</v>
      </c>
      <c r="H81" t="s">
        <v>287</v>
      </c>
      <c r="O81" t="s">
        <v>286</v>
      </c>
    </row>
    <row r="82" spans="1:15" x14ac:dyDescent="0.25">
      <c r="A82" s="3">
        <v>44399.585690972221</v>
      </c>
      <c r="B82" t="s">
        <v>234</v>
      </c>
      <c r="C82" t="s">
        <v>224</v>
      </c>
      <c r="D82" t="s">
        <v>18</v>
      </c>
      <c r="E82" t="s">
        <v>254</v>
      </c>
      <c r="F82" t="s">
        <v>254</v>
      </c>
      <c r="H82" t="s">
        <v>287</v>
      </c>
      <c r="O82" t="s">
        <v>286</v>
      </c>
    </row>
    <row r="83" spans="1:15" x14ac:dyDescent="0.25">
      <c r="A83" s="3">
        <v>44399.585690972221</v>
      </c>
      <c r="B83" t="s">
        <v>234</v>
      </c>
      <c r="C83" t="s">
        <v>224</v>
      </c>
      <c r="D83" t="s">
        <v>18</v>
      </c>
      <c r="E83" t="s">
        <v>31</v>
      </c>
      <c r="F83" t="s">
        <v>31</v>
      </c>
      <c r="G83">
        <v>68</v>
      </c>
      <c r="H83" t="s">
        <v>102</v>
      </c>
      <c r="I83">
        <v>1004968</v>
      </c>
      <c r="J83">
        <v>720</v>
      </c>
      <c r="O83" t="s">
        <v>286</v>
      </c>
    </row>
    <row r="84" spans="1:15" x14ac:dyDescent="0.25">
      <c r="A84" s="3">
        <v>44399.585690972221</v>
      </c>
      <c r="B84" t="s">
        <v>234</v>
      </c>
      <c r="C84" t="s">
        <v>224</v>
      </c>
      <c r="D84" t="s">
        <v>18</v>
      </c>
      <c r="E84" t="s">
        <v>31</v>
      </c>
      <c r="F84" t="s">
        <v>31</v>
      </c>
      <c r="G84">
        <v>68</v>
      </c>
      <c r="H84" t="s">
        <v>102</v>
      </c>
      <c r="I84">
        <v>1006110</v>
      </c>
      <c r="J84">
        <v>412</v>
      </c>
      <c r="O84" t="s">
        <v>286</v>
      </c>
    </row>
    <row r="85" spans="1:15" x14ac:dyDescent="0.25">
      <c r="A85" s="3">
        <v>44399.585690972221</v>
      </c>
      <c r="B85" t="s">
        <v>234</v>
      </c>
      <c r="C85" t="s">
        <v>224</v>
      </c>
      <c r="D85" t="s">
        <v>18</v>
      </c>
      <c r="E85" t="s">
        <v>31</v>
      </c>
      <c r="F85" t="s">
        <v>31</v>
      </c>
      <c r="H85" t="s">
        <v>287</v>
      </c>
      <c r="O85" t="s">
        <v>286</v>
      </c>
    </row>
    <row r="86" spans="1:15" x14ac:dyDescent="0.25">
      <c r="A86" s="3">
        <v>44399.585690972221</v>
      </c>
      <c r="B86" t="s">
        <v>234</v>
      </c>
      <c r="C86" t="s">
        <v>224</v>
      </c>
      <c r="D86" t="s">
        <v>18</v>
      </c>
      <c r="E86" t="s">
        <v>31</v>
      </c>
      <c r="F86" t="s">
        <v>31</v>
      </c>
      <c r="H86" t="s">
        <v>287</v>
      </c>
      <c r="O86" t="s">
        <v>286</v>
      </c>
    </row>
    <row r="87" spans="1:15" x14ac:dyDescent="0.25">
      <c r="A87" s="3">
        <v>44399.585690972221</v>
      </c>
      <c r="B87" t="s">
        <v>234</v>
      </c>
      <c r="C87" t="s">
        <v>224</v>
      </c>
      <c r="D87" t="s">
        <v>18</v>
      </c>
      <c r="E87" t="s">
        <v>31</v>
      </c>
      <c r="F87" t="s">
        <v>31</v>
      </c>
      <c r="H87" t="s">
        <v>287</v>
      </c>
      <c r="O87" t="s">
        <v>286</v>
      </c>
    </row>
    <row r="88" spans="1:15" x14ac:dyDescent="0.25">
      <c r="A88" s="3">
        <v>44399.585690972221</v>
      </c>
      <c r="B88" t="s">
        <v>234</v>
      </c>
      <c r="C88" t="s">
        <v>224</v>
      </c>
      <c r="D88" t="s">
        <v>18</v>
      </c>
      <c r="E88" t="s">
        <v>262</v>
      </c>
      <c r="F88" t="s">
        <v>262</v>
      </c>
      <c r="H88" t="s">
        <v>287</v>
      </c>
      <c r="O88" t="s">
        <v>286</v>
      </c>
    </row>
    <row r="89" spans="1:15" x14ac:dyDescent="0.25">
      <c r="A89" s="3">
        <v>44399.585690972221</v>
      </c>
      <c r="B89" t="s">
        <v>234</v>
      </c>
      <c r="C89" t="s">
        <v>224</v>
      </c>
      <c r="D89" t="s">
        <v>18</v>
      </c>
      <c r="E89" t="s">
        <v>262</v>
      </c>
      <c r="F89" t="s">
        <v>258</v>
      </c>
      <c r="H89" t="s">
        <v>287</v>
      </c>
      <c r="O89" t="s">
        <v>286</v>
      </c>
    </row>
    <row r="90" spans="1:15" x14ac:dyDescent="0.25">
      <c r="A90" s="3">
        <v>44399.585690972221</v>
      </c>
      <c r="B90" t="s">
        <v>234</v>
      </c>
      <c r="C90" t="s">
        <v>224</v>
      </c>
      <c r="D90" t="s">
        <v>18</v>
      </c>
      <c r="E90" t="s">
        <v>263</v>
      </c>
      <c r="F90" t="s">
        <v>258</v>
      </c>
      <c r="H90" t="s">
        <v>287</v>
      </c>
      <c r="O90" t="s">
        <v>286</v>
      </c>
    </row>
    <row r="91" spans="1:15" x14ac:dyDescent="0.25">
      <c r="A91" s="3">
        <v>44399.585690972221</v>
      </c>
      <c r="B91" t="s">
        <v>234</v>
      </c>
      <c r="C91" t="s">
        <v>224</v>
      </c>
      <c r="D91" t="s">
        <v>18</v>
      </c>
      <c r="E91" t="s">
        <v>263</v>
      </c>
      <c r="F91" t="s">
        <v>258</v>
      </c>
      <c r="H91" t="s">
        <v>287</v>
      </c>
      <c r="O91" t="s">
        <v>286</v>
      </c>
    </row>
    <row r="92" spans="1:15" x14ac:dyDescent="0.25">
      <c r="A92" s="3">
        <v>44399.585690972221</v>
      </c>
      <c r="B92" t="s">
        <v>234</v>
      </c>
      <c r="C92" t="s">
        <v>224</v>
      </c>
      <c r="D92" t="s">
        <v>18</v>
      </c>
      <c r="E92" t="s">
        <v>264</v>
      </c>
      <c r="F92" t="s">
        <v>258</v>
      </c>
      <c r="H92" t="s">
        <v>287</v>
      </c>
      <c r="O92" t="s">
        <v>286</v>
      </c>
    </row>
    <row r="93" spans="1:15" x14ac:dyDescent="0.25">
      <c r="A93" s="3">
        <v>44399.585690972221</v>
      </c>
      <c r="B93" t="s">
        <v>234</v>
      </c>
      <c r="C93" t="s">
        <v>224</v>
      </c>
      <c r="D93" t="s">
        <v>18</v>
      </c>
      <c r="E93" t="s">
        <v>264</v>
      </c>
      <c r="F93" t="s">
        <v>258</v>
      </c>
      <c r="H93" t="s">
        <v>287</v>
      </c>
      <c r="O93" t="s">
        <v>286</v>
      </c>
    </row>
    <row r="94" spans="1:15" x14ac:dyDescent="0.25">
      <c r="A94" s="3">
        <v>44399.585690972221</v>
      </c>
      <c r="B94" t="s">
        <v>234</v>
      </c>
      <c r="C94" t="s">
        <v>224</v>
      </c>
      <c r="D94" t="s">
        <v>18</v>
      </c>
      <c r="E94" t="s">
        <v>265</v>
      </c>
      <c r="F94" t="s">
        <v>258</v>
      </c>
      <c r="H94" t="s">
        <v>287</v>
      </c>
      <c r="O94" t="s">
        <v>286</v>
      </c>
    </row>
    <row r="95" spans="1:15" x14ac:dyDescent="0.25">
      <c r="A95" s="3">
        <v>44399.585690972221</v>
      </c>
      <c r="B95" t="s">
        <v>234</v>
      </c>
      <c r="C95" t="s">
        <v>224</v>
      </c>
      <c r="D95" t="s">
        <v>18</v>
      </c>
      <c r="E95" t="s">
        <v>265</v>
      </c>
      <c r="F95" t="s">
        <v>258</v>
      </c>
      <c r="H95" t="s">
        <v>287</v>
      </c>
      <c r="O95" t="s">
        <v>286</v>
      </c>
    </row>
    <row r="96" spans="1:15" x14ac:dyDescent="0.25">
      <c r="A96" s="3">
        <v>44399.585690972221</v>
      </c>
      <c r="B96" t="s">
        <v>234</v>
      </c>
      <c r="C96" t="s">
        <v>224</v>
      </c>
      <c r="D96" t="s">
        <v>18</v>
      </c>
      <c r="E96" t="s">
        <v>266</v>
      </c>
      <c r="F96" t="s">
        <v>258</v>
      </c>
      <c r="H96" t="s">
        <v>287</v>
      </c>
      <c r="O96" t="s">
        <v>286</v>
      </c>
    </row>
    <row r="97" spans="1:15" x14ac:dyDescent="0.25">
      <c r="A97" s="3">
        <v>44399.585690972221</v>
      </c>
      <c r="B97" t="s">
        <v>234</v>
      </c>
      <c r="C97" t="s">
        <v>224</v>
      </c>
      <c r="D97" t="s">
        <v>18</v>
      </c>
      <c r="E97" t="s">
        <v>266</v>
      </c>
      <c r="F97" t="s">
        <v>258</v>
      </c>
      <c r="H97" t="s">
        <v>287</v>
      </c>
      <c r="O97" t="s">
        <v>286</v>
      </c>
    </row>
    <row r="98" spans="1:15" x14ac:dyDescent="0.25">
      <c r="A98" s="3">
        <v>44399.585690972221</v>
      </c>
      <c r="B98" t="s">
        <v>234</v>
      </c>
      <c r="C98" t="s">
        <v>224</v>
      </c>
      <c r="D98" t="s">
        <v>18</v>
      </c>
      <c r="E98" t="s">
        <v>267</v>
      </c>
      <c r="F98" t="s">
        <v>258</v>
      </c>
      <c r="H98" t="s">
        <v>287</v>
      </c>
      <c r="O98" t="s">
        <v>286</v>
      </c>
    </row>
    <row r="99" spans="1:15" x14ac:dyDescent="0.25">
      <c r="A99" s="3">
        <v>44399.585690972221</v>
      </c>
      <c r="B99" t="s">
        <v>234</v>
      </c>
      <c r="C99" t="s">
        <v>224</v>
      </c>
      <c r="D99" t="s">
        <v>18</v>
      </c>
      <c r="E99" t="s">
        <v>267</v>
      </c>
      <c r="F99" t="s">
        <v>258</v>
      </c>
      <c r="H99" t="s">
        <v>287</v>
      </c>
      <c r="O99" t="s">
        <v>286</v>
      </c>
    </row>
    <row r="100" spans="1:15" x14ac:dyDescent="0.25">
      <c r="A100" s="3">
        <v>44399.585690972221</v>
      </c>
      <c r="B100" t="s">
        <v>234</v>
      </c>
      <c r="C100" t="s">
        <v>224</v>
      </c>
      <c r="D100" t="s">
        <v>18</v>
      </c>
      <c r="E100" t="s">
        <v>31</v>
      </c>
      <c r="F100" t="s">
        <v>258</v>
      </c>
      <c r="H100" t="s">
        <v>287</v>
      </c>
      <c r="O100" t="s">
        <v>286</v>
      </c>
    </row>
    <row r="101" spans="1:15" x14ac:dyDescent="0.25">
      <c r="A101" s="3">
        <v>44399.585690972221</v>
      </c>
      <c r="B101" t="s">
        <v>234</v>
      </c>
      <c r="C101" t="s">
        <v>224</v>
      </c>
      <c r="D101" t="s">
        <v>18</v>
      </c>
      <c r="E101" t="s">
        <v>31</v>
      </c>
      <c r="F101" t="s">
        <v>258</v>
      </c>
      <c r="H101" t="s">
        <v>287</v>
      </c>
      <c r="O101" t="s">
        <v>286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bogprod2</cp:lastModifiedBy>
  <cp:lastPrinted>2021-07-02T20:07:54Z</cp:lastPrinted>
  <dcterms:created xsi:type="dcterms:W3CDTF">2021-07-01T16:57:07Z</dcterms:created>
  <dcterms:modified xsi:type="dcterms:W3CDTF">2021-07-22T19:39:10Z</dcterms:modified>
</cp:coreProperties>
</file>