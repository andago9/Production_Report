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1720" windowHeight="12435" activeTab="1"/>
  </bookViews>
  <sheets>
    <sheet name="DATOS" sheetId="2" r:id="rId1"/>
    <sheet name="CONTROL" sheetId="3" r:id="rId2"/>
    <sheet name="REGISTRO" sheetId="4" r:id="rId3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3" l="1"/>
  <c r="D26" i="3"/>
  <c r="K24" i="3"/>
  <c r="D24" i="3"/>
  <c r="K22" i="3"/>
  <c r="D22" i="3"/>
  <c r="K20" i="3"/>
  <c r="D20" i="3"/>
  <c r="K18" i="3"/>
  <c r="D18" i="3"/>
  <c r="K28" i="3"/>
  <c r="D28" i="3"/>
  <c r="K27" i="3"/>
  <c r="D27" i="3"/>
  <c r="K11" i="3" l="1"/>
  <c r="K12" i="3"/>
  <c r="K13" i="3"/>
  <c r="K14" i="3"/>
  <c r="K15" i="3"/>
  <c r="K16" i="3"/>
  <c r="K17" i="3"/>
  <c r="K19" i="3"/>
  <c r="K21" i="3"/>
  <c r="K23" i="3"/>
  <c r="K25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10" i="3"/>
  <c r="K9" i="3"/>
  <c r="D10" i="3"/>
  <c r="D14" i="3"/>
  <c r="D15" i="3"/>
  <c r="D16" i="3"/>
  <c r="D17" i="3"/>
  <c r="D19" i="3"/>
  <c r="D21" i="3"/>
  <c r="D23" i="3"/>
  <c r="D25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11" i="3"/>
  <c r="D12" i="3"/>
  <c r="D13" i="3"/>
  <c r="D9" i="3"/>
  <c r="B6" i="3" l="1"/>
</calcChain>
</file>

<file path=xl/sharedStrings.xml><?xml version="1.0" encoding="utf-8"?>
<sst xmlns="http://schemas.openxmlformats.org/spreadsheetml/2006/main" count="909" uniqueCount="521">
  <si>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</si>
  <si>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</si>
  <si>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</si>
  <si>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</si>
  <si>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</si>
  <si>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</si>
  <si>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</si>
  <si>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</si>
  <si>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</si>
  <si>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</si>
  <si>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</si>
  <si>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</si>
  <si>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</si>
  <si>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</si>
  <si>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DOBLADO DE SERPENTIN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</si>
  <si>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</si>
  <si>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</si>
  <si>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</si>
  <si>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</si>
  <si>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</si>
  <si>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</si>
  <si>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</si>
  <si>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</si>
  <si>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</si>
  <si>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</si>
  <si>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</si>
  <si>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</si>
  <si>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</si>
  <si>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</si>
  <si>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Michael Garzon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</si>
  <si>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</si>
  <si>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</si>
  <si>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</si>
  <si>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</si>
  <si>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</si>
  <si>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</si>
  <si>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</si>
  <si>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</si>
  <si>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</si>
  <si>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</si>
  <si>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</si>
  <si>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</si>
  <si>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</si>
  <si>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DOBLADO DE OREJAS</t>
  </si>
  <si>
    <t>PRESURIZADO</t>
  </si>
  <si>
    <t>SKIN</t>
  </si>
  <si>
    <t>PINTURA</t>
  </si>
  <si>
    <t>EMPAQUE</t>
  </si>
  <si>
    <t>PRUEBAS DE FUGAS</t>
  </si>
  <si>
    <t>Operarios</t>
  </si>
  <si>
    <t>Referencia</t>
  </si>
  <si>
    <t>Tipo Paro</t>
  </si>
  <si>
    <t>Observaciones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</si>
  <si>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</si>
  <si>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</si>
  <si>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</si>
  <si>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</si>
  <si>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</si>
  <si>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</si>
  <si>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</si>
  <si>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</si>
  <si>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</si>
  <si>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</si>
  <si>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</si>
  <si>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</si>
  <si>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</si>
  <si>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</si>
  <si>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</si>
  <si>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</si>
  <si>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</si>
  <si>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</si>
  <si>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</si>
  <si>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</si>
  <si>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</si>
  <si>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</si>
  <si>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</si>
  <si>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</si>
  <si>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</si>
  <si>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</si>
  <si>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</si>
  <si>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</si>
  <si>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</si>
  <si>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</si>
  <si>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</si>
  <si>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</si>
  <si>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</si>
  <si>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</si>
  <si>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</si>
  <si>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</si>
  <si>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</si>
  <si>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</si>
  <si>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</si>
  <si>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</si>
  <si>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</si>
  <si>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</si>
  <si>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</si>
  <si>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</si>
  <si>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</si>
  <si>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</si>
  <si>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</si>
  <si>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</si>
  <si>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</si>
  <si>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</si>
  <si>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</si>
  <si>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</si>
  <si>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</si>
  <si>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</si>
  <si>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</si>
  <si>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</si>
  <si>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</si>
  <si>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</si>
  <si>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</si>
  <si>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</si>
  <si>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</si>
  <si>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</si>
  <si>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</si>
  <si>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</si>
  <si>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</si>
  <si>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</si>
  <si>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</si>
  <si>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</si>
  <si>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</si>
  <si>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</si>
  <si>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</si>
  <si>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</si>
  <si>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</si>
  <si>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</si>
  <si>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</si>
  <si>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</si>
  <si>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</si>
  <si>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</si>
  <si>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</si>
  <si>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</si>
  <si>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</si>
  <si>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</si>
  <si>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</si>
  <si>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</si>
  <si>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</si>
  <si>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</si>
  <si>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</si>
  <si>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</si>
  <si>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</si>
  <si>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</si>
  <si>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</si>
  <si>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</si>
  <si>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</si>
  <si>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</si>
  <si>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</si>
  <si>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</si>
  <si>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</si>
  <si>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</si>
  <si>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</si>
  <si>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</si>
  <si>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</si>
  <si>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</si>
  <si>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</si>
  <si>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</si>
  <si>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</si>
  <si>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</si>
  <si>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</si>
  <si>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</si>
  <si>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</si>
  <si>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</si>
  <si>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</si>
  <si>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</si>
  <si>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</si>
  <si>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</si>
  <si>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</si>
  <si>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</si>
  <si>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</si>
  <si>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</si>
  <si>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</si>
  <si>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</si>
  <si>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</si>
  <si>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</si>
  <si>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</si>
  <si>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</si>
  <si>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</si>
  <si>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</si>
  <si>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</si>
  <si>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</si>
  <si>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</si>
  <si>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</si>
  <si>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</si>
  <si>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</si>
  <si>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</si>
  <si>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</si>
  <si>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</si>
  <si>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</si>
  <si>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</si>
  <si>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</si>
  <si>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</si>
  <si>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</si>
  <si>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</si>
  <si>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</si>
  <si>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</si>
  <si>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</si>
  <si>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</si>
  <si>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</si>
  <si>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</si>
  <si>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</si>
  <si>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</si>
  <si>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</si>
  <si>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</si>
  <si>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</si>
  <si>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</si>
  <si>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</si>
  <si>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</si>
  <si>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</si>
  <si>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</si>
  <si>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</si>
  <si>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</si>
  <si>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</si>
  <si>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</si>
  <si>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</si>
  <si>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</si>
  <si>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</si>
  <si>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</si>
  <si>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</si>
  <si>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</si>
  <si>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</si>
  <si>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</si>
  <si>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</si>
  <si>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</si>
  <si>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</si>
  <si>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</si>
  <si>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</si>
  <si>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</si>
  <si>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</si>
  <si>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</si>
  <si>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</si>
  <si>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</si>
  <si>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</si>
  <si>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</si>
  <si>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</si>
  <si>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</si>
  <si>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</si>
  <si>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</si>
  <si>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</si>
  <si>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</si>
  <si>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</si>
  <si>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</si>
  <si>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</si>
  <si>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</si>
  <si>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</si>
  <si>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</si>
  <si>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</si>
  <si>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</si>
  <si>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</si>
  <si>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</si>
  <si>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</si>
  <si>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</si>
  <si>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</si>
  <si>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</si>
  <si>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</si>
  <si>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</si>
  <si>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</si>
  <si>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</si>
  <si>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</si>
  <si>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</si>
  <si>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</si>
  <si>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</si>
  <si>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</si>
  <si>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</si>
  <si>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</si>
  <si>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</si>
  <si>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</si>
  <si>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</si>
  <si>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</si>
  <si>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</si>
  <si>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</si>
  <si>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</si>
  <si>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</si>
  <si>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</si>
  <si>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</si>
  <si>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</si>
  <si>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</si>
  <si>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</si>
  <si>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</si>
  <si>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</si>
  <si>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</si>
  <si>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</si>
  <si>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</si>
  <si>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</si>
  <si>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</si>
  <si>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</si>
  <si>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</si>
  <si>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</si>
  <si>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</si>
  <si>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</si>
  <si>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</si>
  <si>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</si>
  <si>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</si>
  <si>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</si>
  <si>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</si>
  <si>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</si>
  <si>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</si>
  <si>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</si>
  <si>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</si>
  <si>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</si>
  <si>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</si>
  <si>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</si>
  <si>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</si>
  <si>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</si>
  <si>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</si>
  <si>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</si>
  <si>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</si>
  <si>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</si>
  <si>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</si>
  <si>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</si>
  <si>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</si>
  <si>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</si>
  <si>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</si>
  <si>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</si>
  <si>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</si>
  <si>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</si>
  <si>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</si>
  <si>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</si>
  <si>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</si>
  <si>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</si>
  <si>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</si>
  <si>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</si>
  <si>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</si>
  <si>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</si>
  <si>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</si>
  <si>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</si>
  <si>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</si>
  <si>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</si>
  <si>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</si>
  <si>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</si>
  <si>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</si>
  <si>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</si>
  <si>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</si>
  <si>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</si>
  <si>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</si>
  <si>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</si>
  <si>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</si>
  <si>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</si>
  <si>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</si>
  <si>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</si>
  <si>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</si>
  <si>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</si>
  <si>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</si>
  <si>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</si>
  <si>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</si>
  <si>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</si>
  <si>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</si>
  <si>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</si>
  <si>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</si>
  <si>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</si>
  <si>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</si>
  <si>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</si>
  <si>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</si>
  <si>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</si>
  <si>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</si>
  <si>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</si>
  <si>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</si>
  <si>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</si>
  <si>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</si>
  <si>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</si>
  <si>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</si>
  <si>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</si>
  <si>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</si>
  <si>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</si>
  <si>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</si>
  <si>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</si>
  <si>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</si>
  <si>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</si>
  <si>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</si>
  <si>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</si>
  <si>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</si>
  <si>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</si>
  <si>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</si>
  <si>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FALLA LISTON</t>
  </si>
  <si>
    <t>AJUSTE DE PORTAELECTRODOS</t>
  </si>
  <si>
    <t>AJUSTE GENERAL</t>
  </si>
  <si>
    <t>AJUSTE GUIAS</t>
  </si>
  <si>
    <t>AJUSTE PG</t>
  </si>
  <si>
    <t>AJUSTE UÑAS</t>
  </si>
  <si>
    <t>ALAMBRE DISPAREJO</t>
  </si>
  <si>
    <t>ALAMBRE SUELTO</t>
  </si>
  <si>
    <t>AUSENTISMO</t>
  </si>
  <si>
    <t>BAJA PRESION DE NITROGENO</t>
  </si>
  <si>
    <t xml:space="preserve">CAMBIO DE CAUCHO </t>
  </si>
  <si>
    <t>CAMBIO DE CILINDRO</t>
  </si>
  <si>
    <t>CAMBIO DE DESENGRASES</t>
  </si>
  <si>
    <t>CAMBIO DE ELECTRODOS</t>
  </si>
  <si>
    <t xml:space="preserve">CAMBIO DE REFERENCIA  </t>
  </si>
  <si>
    <t>CAMBIO DE RODAMIENTO</t>
  </si>
  <si>
    <t>CAMBIO DE TORNILLOS</t>
  </si>
  <si>
    <t>CITA MEDICA</t>
  </si>
  <si>
    <t>DESENGRASES FRIOS</t>
  </si>
  <si>
    <t>ESCOGER ALAMBRE</t>
  </si>
  <si>
    <t>FALLA BASE DEL CILINDRO LANZADOR</t>
  </si>
  <si>
    <t>FALLA CAIDA DE ALAMBRE</t>
  </si>
  <si>
    <t>FALLA EN MAGNETOS</t>
  </si>
  <si>
    <t>FALLA EN TANQUE DE PINTURA (ESPUMA)</t>
  </si>
  <si>
    <t>FALLA EN VALVULAS</t>
  </si>
  <si>
    <t>FALLA MOTOR</t>
  </si>
  <si>
    <t>FALLA PRENSA FIJA</t>
  </si>
  <si>
    <t>FALLA PRENSA MOVIL</t>
  </si>
  <si>
    <t>FALLA RASTRILLOS</t>
  </si>
  <si>
    <t>FALLA SENSOR</t>
  </si>
  <si>
    <t>FALLOS EN LA TEMPERATURA DE LA PINTURA</t>
  </si>
  <si>
    <t>FALLOS EN LA TEMPERATURA DEL HORNO</t>
  </si>
  <si>
    <t>FUGA DE AGUA</t>
  </si>
  <si>
    <t>FUGA DE RACORES</t>
  </si>
  <si>
    <t>FUGA EN LA VALVULA</t>
  </si>
  <si>
    <t>GIRAR REMATES</t>
  </si>
  <si>
    <t>INVENTARIO</t>
  </si>
  <si>
    <t>LAVAR TINAS</t>
  </si>
  <si>
    <t xml:space="preserve">MANTENIMIENTO  BOBINA </t>
  </si>
  <si>
    <t>MANTENIMIENTO DE SISTEMA DE CORTE</t>
  </si>
  <si>
    <t xml:space="preserve">MANTENIMIENTO DE TOPE  </t>
  </si>
  <si>
    <t>MANTENIMIENTO QUEMADORES</t>
  </si>
  <si>
    <t>MUESTRAS</t>
  </si>
  <si>
    <t>RECUPERAR SERPENTIN</t>
  </si>
  <si>
    <t>RECUPERAR TUBO</t>
  </si>
  <si>
    <t>LLEGADA TARDE</t>
  </si>
  <si>
    <t>SE PARTIO TORNILLO DE P6</t>
  </si>
  <si>
    <t>SE ROMPE TORNILLOP DE PG</t>
  </si>
  <si>
    <t>SERPENTIN ENREDADO</t>
  </si>
  <si>
    <t>SIN ALAMBRE</t>
  </si>
  <si>
    <t>SIN ENERGIA</t>
  </si>
  <si>
    <t>SIN MATERIAL PARA PROBAR</t>
  </si>
  <si>
    <t>SIN MATERIAL PROBADO</t>
  </si>
  <si>
    <t>SIN NITROGENO</t>
  </si>
  <si>
    <t>SIN PRESION DE AIRE</t>
  </si>
  <si>
    <t xml:space="preserve">SIN SERPENTIN </t>
  </si>
  <si>
    <t>SIN TUBERIA</t>
  </si>
  <si>
    <t>TUBERIA CORTA</t>
  </si>
  <si>
    <t>TUBERIA LARGA</t>
  </si>
  <si>
    <t>TUBO RAYADO</t>
  </si>
  <si>
    <t>OTROS</t>
  </si>
  <si>
    <t>FALLA ELECTRICA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</si>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</sst>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:mm:ss\ AM/PM"/>
    <numFmt numFmtId="165" formatCode="####\ &quot;min&quot;"/>
  </numFmts>
  <fonts count="1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">
        <color theme="0" tint="-0.14999847407452621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dashDot">
        <color theme="0" tint="-0.1499984740745262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63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7" fillId="3" borderId="4" xfId="0" applyFont="1" applyFill="1" applyBorder="1" applyAlignment="1" applyProtection="1">
      <alignment horizontal="center" vertical="center"/>
      <protection locked="0"/>
    </xf>
    <xf numFmtId="0" fontId="7" fillId="3" borderId="5" xfId="0" applyFont="1" applyFill="1" applyBorder="1" applyAlignment="1" applyProtection="1">
      <alignment vertical="center"/>
      <protection locked="0"/>
    </xf>
    <xf numFmtId="0" fontId="7" fillId="3" borderId="8" xfId="0" applyFont="1" applyFill="1" applyBorder="1" applyAlignment="1" applyProtection="1">
      <alignment vertical="center"/>
      <protection locked="0"/>
    </xf>
    <xf numFmtId="0" fontId="7" fillId="3" borderId="10" xfId="0" applyFont="1" applyFill="1" applyBorder="1" applyAlignment="1" applyProtection="1">
      <alignment vertical="center"/>
      <protection locked="0"/>
    </xf>
    <xf numFmtId="0" fontId="7" fillId="3" borderId="12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13" xfId="0" applyFont="1" applyFill="1" applyBorder="1" applyAlignment="1">
      <alignment wrapText="1"/>
    </xf>
    <xf numFmtId="0" fontId="5" fillId="4" borderId="14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14" xfId="0" applyFont="1" applyBorder="1" applyAlignment="1"/>
    <xf numFmtId="49" fontId="0" fillId="0" borderId="0" xfId="0" applyNumberFormat="1"/>
    <xf numFmtId="0" fontId="0" fillId="0" borderId="0" xfId="0" applyAlignment="1"/>
    <xf numFmtId="49" fontId="0" fillId="0" borderId="0" xfId="0" applyNumberFormat="1" applyAlignment="1"/>
    <xf numFmtId="0" fontId="0" fillId="0" borderId="15" xfId="0" applyFont="1" applyFill="1" applyBorder="1"/>
    <xf numFmtId="49" fontId="0" fillId="0" borderId="15" xfId="0" applyNumberFormat="1" applyBorder="1"/>
    <xf numFmtId="49" fontId="7" fillId="3" borderId="4" xfId="0" applyNumberFormat="1" applyFont="1" applyFill="1" applyBorder="1" applyAlignment="1" applyProtection="1">
      <alignment horizontal="center" vertical="center"/>
      <protection locked="0"/>
    </xf>
    <xf numFmtId="14" fontId="5" fillId="0" borderId="14" xfId="0" applyNumberFormat="1" applyFont="1" applyBorder="1" applyAlignment="1"/>
    <xf numFmtId="0" fontId="2" fillId="3" borderId="4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7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2" fillId="3" borderId="4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3" borderId="7" xfId="0" applyFont="1" applyFill="1" applyBorder="1" applyAlignment="1" applyProtection="1">
      <alignment horizontal="center" vertical="center" wrapText="1"/>
    </xf>
    <xf numFmtId="0" fontId="9" fillId="0" borderId="0" xfId="1" applyFont="1" applyBorder="1" applyAlignment="1">
      <alignment horizontal="center"/>
    </xf>
    <xf numFmtId="165" fontId="7" fillId="3" borderId="22" xfId="0" applyNumberFormat="1" applyFont="1" applyFill="1" applyBorder="1" applyAlignment="1" applyProtection="1">
      <alignment vertical="center"/>
      <protection locked="0"/>
    </xf>
    <xf numFmtId="165" fontId="7" fillId="3" borderId="23" xfId="0" applyNumberFormat="1" applyFont="1" applyFill="1" applyBorder="1" applyAlignment="1" applyProtection="1">
      <alignment vertical="center"/>
      <protection locked="0"/>
    </xf>
    <xf numFmtId="0" fontId="2" fillId="5" borderId="24" xfId="0" applyFont="1" applyFill="1" applyBorder="1" applyAlignment="1" applyProtection="1">
      <alignment horizontal="center" vertical="center" wrapText="1"/>
      <protection locked="0"/>
    </xf>
    <xf numFmtId="0" fontId="2" fillId="5" borderId="25" xfId="0" applyFont="1" applyFill="1" applyBorder="1" applyAlignment="1" applyProtection="1">
      <alignment horizontal="center" vertical="center"/>
      <protection locked="0"/>
    </xf>
    <xf numFmtId="0" fontId="2" fillId="5" borderId="26" xfId="0" applyFont="1" applyFill="1" applyBorder="1" applyAlignment="1" applyProtection="1">
      <alignment horizontal="center" vertical="center"/>
      <protection locked="0"/>
    </xf>
    <xf numFmtId="0" fontId="2" fillId="5" borderId="27" xfId="0" applyFont="1" applyFill="1" applyBorder="1" applyAlignment="1" applyProtection="1">
      <alignment horizontal="center" vertical="center"/>
      <protection locked="0"/>
    </xf>
    <xf numFmtId="0" fontId="2" fillId="5" borderId="28" xfId="0" applyFont="1" applyFill="1" applyBorder="1" applyAlignment="1" applyProtection="1">
      <alignment horizontal="center" vertical="center"/>
      <protection locked="0"/>
    </xf>
    <xf numFmtId="0" fontId="2" fillId="5" borderId="26" xfId="0" applyFont="1" applyFill="1" applyBorder="1" applyAlignment="1" applyProtection="1">
      <alignment horizontal="center" vertical="center" wrapText="1"/>
      <protection locked="0"/>
    </xf>
    <xf numFmtId="0" fontId="2" fillId="5" borderId="29" xfId="0" applyFont="1" applyFill="1" applyBorder="1" applyAlignment="1" applyProtection="1">
      <alignment horizontal="center" vertical="center"/>
      <protection locked="0"/>
    </xf>
    <xf numFmtId="49" fontId="7" fillId="3" borderId="7" xfId="0" applyNumberFormat="1" applyFont="1" applyFill="1" applyBorder="1" applyAlignment="1" applyProtection="1">
      <alignment horizontal="center" vertical="center"/>
      <protection locked="0"/>
    </xf>
    <xf numFmtId="165" fontId="7" fillId="3" borderId="30" xfId="0" applyNumberFormat="1" applyFont="1" applyFill="1" applyBorder="1" applyAlignment="1" applyProtection="1">
      <alignment vertical="center"/>
      <protection locked="0"/>
    </xf>
    <xf numFmtId="165" fontId="7" fillId="3" borderId="31" xfId="0" applyNumberFormat="1" applyFont="1" applyFill="1" applyBorder="1" applyAlignment="1" applyProtection="1">
      <alignment vertical="center"/>
      <protection locked="0"/>
    </xf>
    <xf numFmtId="0" fontId="2" fillId="3" borderId="32" xfId="0" applyFont="1" applyFill="1" applyBorder="1" applyAlignment="1" applyProtection="1">
      <alignment horizontal="center" vertical="center"/>
    </xf>
    <xf numFmtId="49" fontId="7" fillId="3" borderId="32" xfId="0" applyNumberFormat="1" applyFont="1" applyFill="1" applyBorder="1" applyAlignment="1" applyProtection="1">
      <alignment horizontal="center" vertical="center"/>
      <protection locked="0"/>
    </xf>
    <xf numFmtId="165" fontId="7" fillId="3" borderId="33" xfId="0" applyNumberFormat="1" applyFont="1" applyFill="1" applyBorder="1" applyAlignment="1" applyProtection="1">
      <alignment vertical="center"/>
      <protection locked="0"/>
    </xf>
    <xf numFmtId="0" fontId="2" fillId="3" borderId="32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2" fillId="2" borderId="11" xfId="0" applyFont="1" applyFill="1" applyBorder="1" applyAlignment="1" applyProtection="1">
      <alignment horizontal="center" vertical="center" wrapText="1"/>
    </xf>
    <xf numFmtId="0" fontId="7" fillId="0" borderId="14" xfId="0" applyFont="1" applyBorder="1" applyAlignment="1" applyProtection="1">
      <protection locked="0"/>
    </xf>
    <xf numFmtId="0" fontId="0" fillId="0" borderId="16" xfId="0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5" fillId="4" borderId="17" xfId="0" applyFont="1" applyFill="1" applyBorder="1" applyAlignment="1">
      <alignment horizontal="left"/>
    </xf>
    <xf numFmtId="0" fontId="5" fillId="4" borderId="18" xfId="0" applyFont="1" applyFill="1" applyBorder="1" applyAlignment="1">
      <alignment horizontal="left"/>
    </xf>
    <xf numFmtId="0" fontId="7" fillId="0" borderId="20" xfId="0" applyFont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5" fillId="4" borderId="17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/>
    </xf>
  </cellXfs>
  <cellStyles count="2">
    <cellStyle name="Normal" xfId="0" builtinId="0"/>
    <cellStyle name="Título 1" xfId="1" builtinId="1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61"/>
  <sheetViews>
    <sheetView workbookViewId="0">
      <selection activeCell="J7" sqref="J7"/>
    </sheetView>
  </sheetViews>
  <sheetFormatPr baseColWidth="10" defaultRowHeight="15" x14ac:dyDescent="0.25"/>
  <cols>
    <col min="1" max="1" width="15.28515625" bestFit="1" customWidth="1"/>
    <col min="3" max="3" width="21.28515625" bestFit="1" customWidth="1"/>
    <col min="5" max="5" width="9.7109375" style="15" bestFit="1" customWidth="1"/>
    <col min="6" max="6" width="50.5703125" customWidth="1"/>
    <col min="7" max="7" width="13.28515625" bestFit="1" customWidth="1"/>
    <col min="9" max="9" width="9.28515625" bestFit="1" customWidth="1"/>
    <col min="10" max="10" width="40.5703125" bestFit="1" customWidth="1"/>
  </cols>
  <sheetData>
    <row r="1" spans="1:11" x14ac:dyDescent="0.25">
      <c r="A1" t="s">
        <v>25</v>
      </c>
      <c r="C1" t="s">
        <v>26</v>
      </c>
      <c r="E1" s="17" t="s">
        <v>49</v>
      </c>
      <c r="F1" s="16"/>
      <c r="G1" t="s">
        <v>50</v>
      </c>
      <c r="I1" s="55" t="s">
        <v>51</v>
      </c>
      <c r="J1" s="55"/>
      <c r="K1" t="s">
        <v>52</v>
      </c>
    </row>
    <row r="2" spans="1:11" x14ac:dyDescent="0.25">
      <c r="A2" t="s">
        <v>27</v>
      </c>
      <c r="C2" t="s">
        <v>30</v>
      </c>
      <c r="E2" s="15" t="s">
        <v>213</v>
      </c>
      <c r="F2" t="s">
        <v>53</v>
      </c>
      <c r="G2" s="15" t="s">
        <v>498</v>
      </c>
      <c r="H2" t="s">
        <v>515</v>
      </c>
      <c r="I2" s="19" t="s">
        <v>435</v>
      </c>
      <c r="J2" s="18" t="s">
        <v>373</v>
      </c>
    </row>
    <row r="3" spans="1:11" x14ac:dyDescent="0.25">
      <c r="A3" t="s">
        <v>28</v>
      </c>
      <c r="C3" t="s">
        <v>31</v>
      </c>
      <c r="E3" s="15" t="s">
        <v>214</v>
      </c>
      <c r="F3" t="s">
        <v>54</v>
      </c>
      <c r="G3" s="15" t="s">
        <v>499</v>
      </c>
      <c r="I3" s="19" t="s">
        <v>436</v>
      </c>
      <c r="J3" s="18" t="s">
        <v>374</v>
      </c>
    </row>
    <row r="4" spans="1:11" x14ac:dyDescent="0.25">
      <c r="A4" t="s">
        <v>29</v>
      </c>
      <c r="C4" t="s">
        <v>33</v>
      </c>
      <c r="E4" s="15" t="s">
        <v>215</v>
      </c>
      <c r="F4" t="s">
        <v>55</v>
      </c>
      <c r="G4" s="15" t="s">
        <v>500</v>
      </c>
      <c r="I4" s="19" t="s">
        <v>437</v>
      </c>
      <c r="J4" s="18" t="s">
        <v>375</v>
      </c>
    </row>
    <row r="5" spans="1:11" x14ac:dyDescent="0.25">
      <c r="C5" t="s">
        <v>32</v>
      </c>
      <c r="E5" s="15" t="s">
        <v>216</v>
      </c>
      <c r="F5" t="s">
        <v>56</v>
      </c>
      <c r="G5" s="15" t="s">
        <v>498</v>
      </c>
      <c r="I5" s="19" t="s">
        <v>438</v>
      </c>
      <c r="J5" s="18" t="s">
        <v>376</v>
      </c>
    </row>
    <row r="6" spans="1:11" x14ac:dyDescent="0.25">
      <c r="C6" t="s">
        <v>34</v>
      </c>
      <c r="E6" s="15" t="s">
        <v>217</v>
      </c>
      <c r="F6" t="s">
        <v>57</v>
      </c>
      <c r="G6" s="15" t="s">
        <v>501</v>
      </c>
      <c r="I6" s="19" t="s">
        <v>439</v>
      </c>
      <c r="J6" s="18" t="s">
        <v>377</v>
      </c>
    </row>
    <row r="7" spans="1:11" x14ac:dyDescent="0.25">
      <c r="C7" t="s">
        <v>35</v>
      </c>
      <c r="E7" s="15" t="s">
        <v>218</v>
      </c>
      <c r="F7" t="s">
        <v>58</v>
      </c>
      <c r="G7" s="15" t="s">
        <v>502</v>
      </c>
      <c r="I7" s="19" t="s">
        <v>440</v>
      </c>
      <c r="J7" s="18" t="s">
        <v>378</v>
      </c>
    </row>
    <row r="8" spans="1:11" x14ac:dyDescent="0.25">
      <c r="E8" s="15" t="s">
        <v>219</v>
      </c>
      <c r="F8" t="s">
        <v>59</v>
      </c>
      <c r="G8" s="15">
        <v>3120440</v>
      </c>
      <c r="I8" s="19" t="s">
        <v>441</v>
      </c>
      <c r="J8" s="18" t="s">
        <v>379</v>
      </c>
    </row>
    <row r="9" spans="1:11" x14ac:dyDescent="0.25">
      <c r="E9" s="15" t="s">
        <v>220</v>
      </c>
      <c r="F9" t="s">
        <v>60</v>
      </c>
      <c r="G9" s="15" t="s">
        <v>503</v>
      </c>
      <c r="I9" s="19" t="s">
        <v>442</v>
      </c>
      <c r="J9" s="18" t="s">
        <v>380</v>
      </c>
    </row>
    <row r="10" spans="1:11" x14ac:dyDescent="0.25">
      <c r="E10" s="15" t="s">
        <v>221</v>
      </c>
      <c r="F10" t="s">
        <v>61</v>
      </c>
      <c r="G10" s="15" t="s">
        <v>504</v>
      </c>
      <c r="I10" s="19" t="s">
        <v>443</v>
      </c>
      <c r="J10" s="18" t="s">
        <v>381</v>
      </c>
    </row>
    <row r="11" spans="1:11" x14ac:dyDescent="0.25">
      <c r="E11" s="15" t="s">
        <v>222</v>
      </c>
      <c r="F11" t="s">
        <v>62</v>
      </c>
      <c r="G11" s="15" t="s">
        <v>505</v>
      </c>
      <c r="I11" s="19" t="s">
        <v>444</v>
      </c>
      <c r="J11" s="18" t="s">
        <v>382</v>
      </c>
    </row>
    <row r="12" spans="1:11" x14ac:dyDescent="0.25">
      <c r="E12" s="15" t="s">
        <v>223</v>
      </c>
      <c r="F12" t="s">
        <v>63</v>
      </c>
      <c r="G12" s="15">
        <v>6515287</v>
      </c>
      <c r="I12" s="19" t="s">
        <v>445</v>
      </c>
      <c r="J12" s="18" t="s">
        <v>383</v>
      </c>
    </row>
    <row r="13" spans="1:11" x14ac:dyDescent="0.25">
      <c r="E13" s="15" t="s">
        <v>224</v>
      </c>
      <c r="F13" t="s">
        <v>64</v>
      </c>
      <c r="G13" s="15">
        <v>6515288</v>
      </c>
      <c r="I13" s="19" t="s">
        <v>446</v>
      </c>
      <c r="J13" s="18" t="s">
        <v>384</v>
      </c>
    </row>
    <row r="14" spans="1:11" x14ac:dyDescent="0.25">
      <c r="E14" s="15" t="s">
        <v>225</v>
      </c>
      <c r="F14" t="s">
        <v>65</v>
      </c>
      <c r="G14" s="15" t="s">
        <v>506</v>
      </c>
      <c r="I14" s="19" t="s">
        <v>447</v>
      </c>
      <c r="J14" s="18" t="s">
        <v>385</v>
      </c>
    </row>
    <row r="15" spans="1:11" x14ac:dyDescent="0.25">
      <c r="E15" s="15" t="s">
        <v>226</v>
      </c>
      <c r="F15" t="s">
        <v>66</v>
      </c>
      <c r="G15" s="15">
        <v>6515273</v>
      </c>
      <c r="I15" s="19" t="s">
        <v>448</v>
      </c>
      <c r="J15" s="18" t="s">
        <v>386</v>
      </c>
    </row>
    <row r="16" spans="1:11" x14ac:dyDescent="0.25">
      <c r="E16" s="15" t="s">
        <v>227</v>
      </c>
      <c r="F16" t="s">
        <v>67</v>
      </c>
      <c r="G16" s="15">
        <v>6515244</v>
      </c>
      <c r="I16" s="19" t="s">
        <v>449</v>
      </c>
      <c r="J16" s="18" t="s">
        <v>387</v>
      </c>
    </row>
    <row r="17" spans="5:10" x14ac:dyDescent="0.25">
      <c r="E17" s="15" t="s">
        <v>228</v>
      </c>
      <c r="F17" t="s">
        <v>68</v>
      </c>
      <c r="G17" s="15">
        <v>6515242</v>
      </c>
      <c r="I17" s="19" t="s">
        <v>450</v>
      </c>
      <c r="J17" s="18" t="s">
        <v>388</v>
      </c>
    </row>
    <row r="18" spans="5:10" x14ac:dyDescent="0.25">
      <c r="E18" s="15" t="s">
        <v>229</v>
      </c>
      <c r="F18" t="s">
        <v>69</v>
      </c>
      <c r="G18" s="15">
        <v>6515243</v>
      </c>
      <c r="I18" s="19" t="s">
        <v>451</v>
      </c>
      <c r="J18" s="18" t="s">
        <v>389</v>
      </c>
    </row>
    <row r="19" spans="5:10" x14ac:dyDescent="0.25">
      <c r="E19" s="15" t="s">
        <v>230</v>
      </c>
      <c r="F19" t="s">
        <v>70</v>
      </c>
      <c r="G19" s="15" t="s">
        <v>507</v>
      </c>
      <c r="I19" s="19" t="s">
        <v>452</v>
      </c>
      <c r="J19" s="18" t="s">
        <v>390</v>
      </c>
    </row>
    <row r="20" spans="5:10" x14ac:dyDescent="0.25">
      <c r="E20" s="15" t="s">
        <v>231</v>
      </c>
      <c r="F20" t="s">
        <v>71</v>
      </c>
      <c r="G20" s="15" t="s">
        <v>508</v>
      </c>
      <c r="I20" s="19" t="s">
        <v>453</v>
      </c>
      <c r="J20" s="18" t="s">
        <v>391</v>
      </c>
    </row>
    <row r="21" spans="5:10" x14ac:dyDescent="0.25">
      <c r="E21" s="15" t="s">
        <v>232</v>
      </c>
      <c r="F21" t="s">
        <v>72</v>
      </c>
      <c r="G21" s="15" t="s">
        <v>509</v>
      </c>
      <c r="I21" s="19" t="s">
        <v>454</v>
      </c>
      <c r="J21" s="18" t="s">
        <v>392</v>
      </c>
    </row>
    <row r="22" spans="5:10" x14ac:dyDescent="0.25">
      <c r="E22" s="15" t="s">
        <v>233</v>
      </c>
      <c r="F22" t="s">
        <v>73</v>
      </c>
      <c r="G22" s="15" t="s">
        <v>510</v>
      </c>
      <c r="I22" s="19" t="s">
        <v>455</v>
      </c>
      <c r="J22" s="18" t="s">
        <v>393</v>
      </c>
    </row>
    <row r="23" spans="5:10" x14ac:dyDescent="0.25">
      <c r="E23" s="15" t="s">
        <v>234</v>
      </c>
      <c r="F23" t="s">
        <v>74</v>
      </c>
      <c r="G23" s="15" t="s">
        <v>511</v>
      </c>
      <c r="I23" s="19" t="s">
        <v>456</v>
      </c>
      <c r="J23" s="18" t="s">
        <v>394</v>
      </c>
    </row>
    <row r="24" spans="5:10" x14ac:dyDescent="0.25">
      <c r="E24" s="15" t="s">
        <v>235</v>
      </c>
      <c r="F24" t="s">
        <v>75</v>
      </c>
      <c r="G24" s="15" t="s">
        <v>512</v>
      </c>
      <c r="I24" s="19" t="s">
        <v>457</v>
      </c>
      <c r="J24" s="18" t="s">
        <v>395</v>
      </c>
    </row>
    <row r="25" spans="5:10" x14ac:dyDescent="0.25">
      <c r="E25" s="15" t="s">
        <v>236</v>
      </c>
      <c r="F25" t="s">
        <v>76</v>
      </c>
      <c r="G25" s="15" t="s">
        <v>513</v>
      </c>
      <c r="I25" s="19" t="s">
        <v>458</v>
      </c>
      <c r="J25" s="18" t="s">
        <v>396</v>
      </c>
    </row>
    <row r="26" spans="5:10" x14ac:dyDescent="0.25">
      <c r="E26" s="15" t="s">
        <v>237</v>
      </c>
      <c r="F26" t="s">
        <v>77</v>
      </c>
      <c r="G26" s="15" t="s">
        <v>514</v>
      </c>
      <c r="I26" s="19" t="s">
        <v>459</v>
      </c>
      <c r="J26" s="18" t="s">
        <v>397</v>
      </c>
    </row>
    <row r="27" spans="5:10" x14ac:dyDescent="0.25">
      <c r="E27" s="15" t="s">
        <v>238</v>
      </c>
      <c r="F27" t="s">
        <v>78</v>
      </c>
      <c r="G27" s="15">
        <v>1004525</v>
      </c>
      <c r="I27" s="19" t="s">
        <v>460</v>
      </c>
      <c r="J27" s="18" t="s">
        <v>398</v>
      </c>
    </row>
    <row r="28" spans="5:10" x14ac:dyDescent="0.25">
      <c r="E28" s="15" t="s">
        <v>239</v>
      </c>
      <c r="F28" t="s">
        <v>79</v>
      </c>
      <c r="G28" s="15">
        <v>1008912</v>
      </c>
      <c r="I28" s="19" t="s">
        <v>461</v>
      </c>
      <c r="J28" s="18" t="s">
        <v>399</v>
      </c>
    </row>
    <row r="29" spans="5:10" x14ac:dyDescent="0.25">
      <c r="E29" s="15" t="s">
        <v>240</v>
      </c>
      <c r="F29" t="s">
        <v>80</v>
      </c>
      <c r="I29" s="19" t="s">
        <v>462</v>
      </c>
      <c r="J29" s="18" t="s">
        <v>400</v>
      </c>
    </row>
    <row r="30" spans="5:10" x14ac:dyDescent="0.25">
      <c r="E30" s="15" t="s">
        <v>241</v>
      </c>
      <c r="F30" t="s">
        <v>81</v>
      </c>
      <c r="I30" s="19" t="s">
        <v>463</v>
      </c>
      <c r="J30" s="18" t="s">
        <v>401</v>
      </c>
    </row>
    <row r="31" spans="5:10" x14ac:dyDescent="0.25">
      <c r="E31" s="15" t="s">
        <v>242</v>
      </c>
      <c r="F31" t="s">
        <v>82</v>
      </c>
      <c r="I31" s="19" t="s">
        <v>464</v>
      </c>
      <c r="J31" s="18" t="s">
        <v>402</v>
      </c>
    </row>
    <row r="32" spans="5:10" x14ac:dyDescent="0.25">
      <c r="E32" s="15" t="s">
        <v>243</v>
      </c>
      <c r="F32" t="s">
        <v>83</v>
      </c>
      <c r="I32" s="19" t="s">
        <v>465</v>
      </c>
      <c r="J32" s="18" t="s">
        <v>403</v>
      </c>
    </row>
    <row r="33" spans="5:10" x14ac:dyDescent="0.25">
      <c r="E33" s="15" t="s">
        <v>244</v>
      </c>
      <c r="F33" t="s">
        <v>84</v>
      </c>
      <c r="I33" s="19" t="s">
        <v>466</v>
      </c>
      <c r="J33" s="18" t="s">
        <v>404</v>
      </c>
    </row>
    <row r="34" spans="5:10" x14ac:dyDescent="0.25">
      <c r="E34" s="15" t="s">
        <v>245</v>
      </c>
      <c r="F34" t="s">
        <v>85</v>
      </c>
      <c r="I34" s="19" t="s">
        <v>467</v>
      </c>
      <c r="J34" s="18" t="s">
        <v>405</v>
      </c>
    </row>
    <row r="35" spans="5:10" x14ac:dyDescent="0.25">
      <c r="E35" s="15" t="s">
        <v>246</v>
      </c>
      <c r="F35" t="s">
        <v>86</v>
      </c>
      <c r="I35" s="19" t="s">
        <v>468</v>
      </c>
      <c r="J35" s="18" t="s">
        <v>406</v>
      </c>
    </row>
    <row r="36" spans="5:10" x14ac:dyDescent="0.25">
      <c r="E36" s="15" t="s">
        <v>247</v>
      </c>
      <c r="F36" t="s">
        <v>87</v>
      </c>
      <c r="I36" s="19" t="s">
        <v>469</v>
      </c>
      <c r="J36" s="18" t="s">
        <v>407</v>
      </c>
    </row>
    <row r="37" spans="5:10" x14ac:dyDescent="0.25">
      <c r="E37" s="15" t="s">
        <v>248</v>
      </c>
      <c r="F37" t="s">
        <v>88</v>
      </c>
      <c r="I37" s="19" t="s">
        <v>470</v>
      </c>
      <c r="J37" s="18" t="s">
        <v>408</v>
      </c>
    </row>
    <row r="38" spans="5:10" x14ac:dyDescent="0.25">
      <c r="E38" s="15" t="s">
        <v>249</v>
      </c>
      <c r="F38" t="s">
        <v>89</v>
      </c>
      <c r="I38" s="19" t="s">
        <v>471</v>
      </c>
      <c r="J38" s="18" t="s">
        <v>409</v>
      </c>
    </row>
    <row r="39" spans="5:10" x14ac:dyDescent="0.25">
      <c r="E39" s="15" t="s">
        <v>250</v>
      </c>
      <c r="F39" t="s">
        <v>90</v>
      </c>
      <c r="I39" s="19" t="s">
        <v>472</v>
      </c>
      <c r="J39" s="18" t="s">
        <v>410</v>
      </c>
    </row>
    <row r="40" spans="5:10" x14ac:dyDescent="0.25">
      <c r="E40" s="15" t="s">
        <v>251</v>
      </c>
      <c r="F40" t="s">
        <v>91</v>
      </c>
      <c r="I40" s="19" t="s">
        <v>473</v>
      </c>
      <c r="J40" s="18" t="s">
        <v>411</v>
      </c>
    </row>
    <row r="41" spans="5:10" x14ac:dyDescent="0.25">
      <c r="E41" s="15" t="s">
        <v>252</v>
      </c>
      <c r="F41" t="s">
        <v>92</v>
      </c>
      <c r="I41" s="19" t="s">
        <v>474</v>
      </c>
      <c r="J41" s="18" t="s">
        <v>412</v>
      </c>
    </row>
    <row r="42" spans="5:10" x14ac:dyDescent="0.25">
      <c r="E42" s="15" t="s">
        <v>253</v>
      </c>
      <c r="F42" t="s">
        <v>93</v>
      </c>
      <c r="I42" s="19" t="s">
        <v>475</v>
      </c>
      <c r="J42" s="18" t="s">
        <v>413</v>
      </c>
    </row>
    <row r="43" spans="5:10" x14ac:dyDescent="0.25">
      <c r="E43" s="15" t="s">
        <v>254</v>
      </c>
      <c r="F43" t="s">
        <v>94</v>
      </c>
      <c r="I43" s="19" t="s">
        <v>476</v>
      </c>
      <c r="J43" s="18" t="s">
        <v>414</v>
      </c>
    </row>
    <row r="44" spans="5:10" x14ac:dyDescent="0.25">
      <c r="E44" s="15" t="s">
        <v>255</v>
      </c>
      <c r="F44" t="s">
        <v>95</v>
      </c>
      <c r="I44" s="19" t="s">
        <v>477</v>
      </c>
      <c r="J44" s="18" t="s">
        <v>415</v>
      </c>
    </row>
    <row r="45" spans="5:10" x14ac:dyDescent="0.25">
      <c r="E45" s="15" t="s">
        <v>256</v>
      </c>
      <c r="F45" t="s">
        <v>96</v>
      </c>
      <c r="I45" s="19" t="s">
        <v>478</v>
      </c>
      <c r="J45" s="18" t="s">
        <v>416</v>
      </c>
    </row>
    <row r="46" spans="5:10" x14ac:dyDescent="0.25">
      <c r="E46" s="15" t="s">
        <v>257</v>
      </c>
      <c r="F46" t="s">
        <v>97</v>
      </c>
      <c r="I46" s="19" t="s">
        <v>479</v>
      </c>
      <c r="J46" s="18" t="s">
        <v>417</v>
      </c>
    </row>
    <row r="47" spans="5:10" x14ac:dyDescent="0.25">
      <c r="E47" s="15" t="s">
        <v>258</v>
      </c>
      <c r="F47" t="s">
        <v>98</v>
      </c>
      <c r="I47" s="19" t="s">
        <v>480</v>
      </c>
      <c r="J47" s="18" t="s">
        <v>418</v>
      </c>
    </row>
    <row r="48" spans="5:10" x14ac:dyDescent="0.25">
      <c r="E48" s="15" t="s">
        <v>259</v>
      </c>
      <c r="F48" t="s">
        <v>99</v>
      </c>
      <c r="I48" s="19" t="s">
        <v>481</v>
      </c>
      <c r="J48" s="18" t="s">
        <v>419</v>
      </c>
    </row>
    <row r="49" spans="5:10" x14ac:dyDescent="0.25">
      <c r="E49" s="15" t="s">
        <v>260</v>
      </c>
      <c r="F49" t="s">
        <v>100</v>
      </c>
      <c r="I49" s="19" t="s">
        <v>482</v>
      </c>
      <c r="J49" s="18" t="s">
        <v>420</v>
      </c>
    </row>
    <row r="50" spans="5:10" x14ac:dyDescent="0.25">
      <c r="E50" s="15" t="s">
        <v>261</v>
      </c>
      <c r="F50" t="s">
        <v>101</v>
      </c>
      <c r="I50" s="19" t="s">
        <v>483</v>
      </c>
      <c r="J50" s="18" t="s">
        <v>421</v>
      </c>
    </row>
    <row r="51" spans="5:10" x14ac:dyDescent="0.25">
      <c r="E51" s="15" t="s">
        <v>262</v>
      </c>
      <c r="F51" t="s">
        <v>102</v>
      </c>
      <c r="I51" s="19" t="s">
        <v>484</v>
      </c>
      <c r="J51" s="18" t="s">
        <v>422</v>
      </c>
    </row>
    <row r="52" spans="5:10" x14ac:dyDescent="0.25">
      <c r="E52" s="15" t="s">
        <v>263</v>
      </c>
      <c r="F52" t="s">
        <v>103</v>
      </c>
      <c r="I52" s="19" t="s">
        <v>485</v>
      </c>
      <c r="J52" s="18" t="s">
        <v>423</v>
      </c>
    </row>
    <row r="53" spans="5:10" x14ac:dyDescent="0.25">
      <c r="E53" s="15" t="s">
        <v>264</v>
      </c>
      <c r="F53" t="s">
        <v>104</v>
      </c>
      <c r="I53" s="19" t="s">
        <v>486</v>
      </c>
      <c r="J53" s="18" t="s">
        <v>424</v>
      </c>
    </row>
    <row r="54" spans="5:10" x14ac:dyDescent="0.25">
      <c r="E54" s="15" t="s">
        <v>265</v>
      </c>
      <c r="F54" t="s">
        <v>105</v>
      </c>
      <c r="I54" s="19" t="s">
        <v>487</v>
      </c>
      <c r="J54" s="18" t="s">
        <v>425</v>
      </c>
    </row>
    <row r="55" spans="5:10" x14ac:dyDescent="0.25">
      <c r="E55" s="15" t="s">
        <v>266</v>
      </c>
      <c r="F55" t="s">
        <v>106</v>
      </c>
      <c r="I55" s="19" t="s">
        <v>488</v>
      </c>
      <c r="J55" s="18" t="s">
        <v>426</v>
      </c>
    </row>
    <row r="56" spans="5:10" x14ac:dyDescent="0.25">
      <c r="E56" s="15" t="s">
        <v>267</v>
      </c>
      <c r="F56" t="s">
        <v>107</v>
      </c>
      <c r="I56" s="19" t="s">
        <v>489</v>
      </c>
      <c r="J56" s="18" t="s">
        <v>427</v>
      </c>
    </row>
    <row r="57" spans="5:10" x14ac:dyDescent="0.25">
      <c r="E57" s="15" t="s">
        <v>268</v>
      </c>
      <c r="F57" t="s">
        <v>108</v>
      </c>
      <c r="I57" s="19" t="s">
        <v>490</v>
      </c>
      <c r="J57" s="18" t="s">
        <v>428</v>
      </c>
    </row>
    <row r="58" spans="5:10" x14ac:dyDescent="0.25">
      <c r="E58" s="15" t="s">
        <v>269</v>
      </c>
      <c r="F58" t="s">
        <v>109</v>
      </c>
      <c r="I58" s="19" t="s">
        <v>491</v>
      </c>
      <c r="J58" s="18" t="s">
        <v>429</v>
      </c>
    </row>
    <row r="59" spans="5:10" x14ac:dyDescent="0.25">
      <c r="E59" s="15" t="s">
        <v>270</v>
      </c>
      <c r="F59" t="s">
        <v>110</v>
      </c>
      <c r="I59" s="19" t="s">
        <v>492</v>
      </c>
      <c r="J59" s="18" t="s">
        <v>430</v>
      </c>
    </row>
    <row r="60" spans="5:10" x14ac:dyDescent="0.25">
      <c r="E60" s="15" t="s">
        <v>271</v>
      </c>
      <c r="F60" t="s">
        <v>111</v>
      </c>
      <c r="I60" s="19" t="s">
        <v>493</v>
      </c>
      <c r="J60" s="18" t="s">
        <v>431</v>
      </c>
    </row>
    <row r="61" spans="5:10" x14ac:dyDescent="0.25">
      <c r="E61" s="15" t="s">
        <v>272</v>
      </c>
      <c r="F61" t="s">
        <v>112</v>
      </c>
      <c r="I61" s="19" t="s">
        <v>494</v>
      </c>
      <c r="J61" s="18" t="s">
        <v>432</v>
      </c>
    </row>
    <row r="62" spans="5:10" x14ac:dyDescent="0.25">
      <c r="E62" s="15" t="s">
        <v>273</v>
      </c>
      <c r="F62" t="s">
        <v>113</v>
      </c>
      <c r="I62" s="19" t="s">
        <v>495</v>
      </c>
      <c r="J62" s="18" t="s">
        <v>433</v>
      </c>
    </row>
    <row r="63" spans="5:10" x14ac:dyDescent="0.25">
      <c r="E63" s="15" t="s">
        <v>274</v>
      </c>
      <c r="F63" t="s">
        <v>114</v>
      </c>
      <c r="I63" s="19" t="s">
        <v>496</v>
      </c>
      <c r="J63" s="18" t="s">
        <v>434</v>
      </c>
    </row>
    <row r="64" spans="5:10" x14ac:dyDescent="0.25">
      <c r="E64" s="15" t="s">
        <v>275</v>
      </c>
      <c r="F64" t="s">
        <v>115</v>
      </c>
    </row>
    <row r="65" spans="5:6" x14ac:dyDescent="0.25">
      <c r="E65" s="15" t="s">
        <v>276</v>
      </c>
      <c r="F65" t="s">
        <v>116</v>
      </c>
    </row>
    <row r="66" spans="5:6" x14ac:dyDescent="0.25">
      <c r="E66" s="15" t="s">
        <v>277</v>
      </c>
      <c r="F66" t="s">
        <v>117</v>
      </c>
    </row>
    <row r="67" spans="5:6" x14ac:dyDescent="0.25">
      <c r="E67" s="15" t="s">
        <v>278</v>
      </c>
      <c r="F67" t="s">
        <v>118</v>
      </c>
    </row>
    <row r="68" spans="5:6" x14ac:dyDescent="0.25">
      <c r="E68" s="15" t="s">
        <v>279</v>
      </c>
      <c r="F68" t="s">
        <v>119</v>
      </c>
    </row>
    <row r="69" spans="5:6" x14ac:dyDescent="0.25">
      <c r="E69" s="15" t="s">
        <v>280</v>
      </c>
      <c r="F69" t="s">
        <v>120</v>
      </c>
    </row>
    <row r="70" spans="5:6" x14ac:dyDescent="0.25">
      <c r="E70" s="15" t="s">
        <v>281</v>
      </c>
      <c r="F70" t="s">
        <v>121</v>
      </c>
    </row>
    <row r="71" spans="5:6" x14ac:dyDescent="0.25">
      <c r="E71" s="15" t="s">
        <v>282</v>
      </c>
      <c r="F71" t="s">
        <v>122</v>
      </c>
    </row>
    <row r="72" spans="5:6" x14ac:dyDescent="0.25">
      <c r="E72" s="15" t="s">
        <v>283</v>
      </c>
      <c r="F72" t="s">
        <v>123</v>
      </c>
    </row>
    <row r="73" spans="5:6" x14ac:dyDescent="0.25">
      <c r="E73" s="15" t="s">
        <v>284</v>
      </c>
      <c r="F73" t="s">
        <v>124</v>
      </c>
    </row>
    <row r="74" spans="5:6" x14ac:dyDescent="0.25">
      <c r="E74" s="15" t="s">
        <v>285</v>
      </c>
      <c r="F74" t="s">
        <v>125</v>
      </c>
    </row>
    <row r="75" spans="5:6" x14ac:dyDescent="0.25">
      <c r="E75" s="15" t="s">
        <v>286</v>
      </c>
      <c r="F75" t="s">
        <v>126</v>
      </c>
    </row>
    <row r="76" spans="5:6" x14ac:dyDescent="0.25">
      <c r="E76" s="15" t="s">
        <v>287</v>
      </c>
      <c r="F76" t="s">
        <v>127</v>
      </c>
    </row>
    <row r="77" spans="5:6" x14ac:dyDescent="0.25">
      <c r="E77" s="15" t="s">
        <v>288</v>
      </c>
      <c r="F77" t="s">
        <v>128</v>
      </c>
    </row>
    <row r="78" spans="5:6" x14ac:dyDescent="0.25">
      <c r="E78" s="15" t="s">
        <v>289</v>
      </c>
      <c r="F78" t="s">
        <v>129</v>
      </c>
    </row>
    <row r="79" spans="5:6" x14ac:dyDescent="0.25">
      <c r="E79" s="15" t="s">
        <v>290</v>
      </c>
      <c r="F79" t="s">
        <v>130</v>
      </c>
    </row>
    <row r="80" spans="5:6" x14ac:dyDescent="0.25">
      <c r="E80" s="15" t="s">
        <v>291</v>
      </c>
      <c r="F80" t="s">
        <v>131</v>
      </c>
    </row>
    <row r="81" spans="5:6" x14ac:dyDescent="0.25">
      <c r="E81" s="15" t="s">
        <v>292</v>
      </c>
      <c r="F81" t="s">
        <v>132</v>
      </c>
    </row>
    <row r="82" spans="5:6" x14ac:dyDescent="0.25">
      <c r="E82" s="15" t="s">
        <v>293</v>
      </c>
      <c r="F82" t="s">
        <v>133</v>
      </c>
    </row>
    <row r="83" spans="5:6" x14ac:dyDescent="0.25">
      <c r="E83" s="15" t="s">
        <v>294</v>
      </c>
      <c r="F83" t="s">
        <v>134</v>
      </c>
    </row>
    <row r="84" spans="5:6" x14ac:dyDescent="0.25">
      <c r="E84" s="15" t="s">
        <v>295</v>
      </c>
      <c r="F84" t="s">
        <v>135</v>
      </c>
    </row>
    <row r="85" spans="5:6" x14ac:dyDescent="0.25">
      <c r="E85" s="15" t="s">
        <v>296</v>
      </c>
      <c r="F85" t="s">
        <v>136</v>
      </c>
    </row>
    <row r="86" spans="5:6" x14ac:dyDescent="0.25">
      <c r="E86" s="15" t="s">
        <v>297</v>
      </c>
      <c r="F86" t="s">
        <v>137</v>
      </c>
    </row>
    <row r="87" spans="5:6" x14ac:dyDescent="0.25">
      <c r="E87" s="15" t="s">
        <v>298</v>
      </c>
      <c r="F87" t="s">
        <v>138</v>
      </c>
    </row>
    <row r="88" spans="5:6" x14ac:dyDescent="0.25">
      <c r="E88" s="15" t="s">
        <v>299</v>
      </c>
      <c r="F88" t="s">
        <v>139</v>
      </c>
    </row>
    <row r="89" spans="5:6" x14ac:dyDescent="0.25">
      <c r="E89" s="15" t="s">
        <v>300</v>
      </c>
      <c r="F89" t="s">
        <v>140</v>
      </c>
    </row>
    <row r="90" spans="5:6" x14ac:dyDescent="0.25">
      <c r="E90" s="15" t="s">
        <v>301</v>
      </c>
      <c r="F90" t="s">
        <v>141</v>
      </c>
    </row>
    <row r="91" spans="5:6" x14ac:dyDescent="0.25">
      <c r="E91" s="15" t="s">
        <v>302</v>
      </c>
      <c r="F91" t="s">
        <v>142</v>
      </c>
    </row>
    <row r="92" spans="5:6" x14ac:dyDescent="0.25">
      <c r="E92" s="15" t="s">
        <v>303</v>
      </c>
      <c r="F92" t="s">
        <v>143</v>
      </c>
    </row>
    <row r="93" spans="5:6" x14ac:dyDescent="0.25">
      <c r="E93" s="15" t="s">
        <v>304</v>
      </c>
      <c r="F93" t="s">
        <v>144</v>
      </c>
    </row>
    <row r="94" spans="5:6" x14ac:dyDescent="0.25">
      <c r="E94" s="15" t="s">
        <v>305</v>
      </c>
      <c r="F94" t="s">
        <v>145</v>
      </c>
    </row>
    <row r="95" spans="5:6" x14ac:dyDescent="0.25">
      <c r="E95" s="15" t="s">
        <v>306</v>
      </c>
      <c r="F95" t="s">
        <v>146</v>
      </c>
    </row>
    <row r="96" spans="5:6" x14ac:dyDescent="0.25">
      <c r="E96" s="15" t="s">
        <v>307</v>
      </c>
      <c r="F96" t="s">
        <v>147</v>
      </c>
    </row>
    <row r="97" spans="5:6" x14ac:dyDescent="0.25">
      <c r="E97" s="15" t="s">
        <v>308</v>
      </c>
      <c r="F97" t="s">
        <v>148</v>
      </c>
    </row>
    <row r="98" spans="5:6" x14ac:dyDescent="0.25">
      <c r="E98" s="15" t="s">
        <v>309</v>
      </c>
      <c r="F98" t="s">
        <v>149</v>
      </c>
    </row>
    <row r="99" spans="5:6" x14ac:dyDescent="0.25">
      <c r="E99" s="15" t="s">
        <v>310</v>
      </c>
      <c r="F99" t="s">
        <v>150</v>
      </c>
    </row>
    <row r="100" spans="5:6" x14ac:dyDescent="0.25">
      <c r="E100" s="15" t="s">
        <v>311</v>
      </c>
      <c r="F100" t="s">
        <v>151</v>
      </c>
    </row>
    <row r="101" spans="5:6" x14ac:dyDescent="0.25">
      <c r="E101" s="15" t="s">
        <v>312</v>
      </c>
      <c r="F101" t="s">
        <v>152</v>
      </c>
    </row>
    <row r="102" spans="5:6" x14ac:dyDescent="0.25">
      <c r="E102" s="15" t="s">
        <v>313</v>
      </c>
      <c r="F102" t="s">
        <v>153</v>
      </c>
    </row>
    <row r="103" spans="5:6" x14ac:dyDescent="0.25">
      <c r="E103" s="15" t="s">
        <v>314</v>
      </c>
      <c r="F103" t="s">
        <v>154</v>
      </c>
    </row>
    <row r="104" spans="5:6" x14ac:dyDescent="0.25">
      <c r="E104" s="15" t="s">
        <v>315</v>
      </c>
      <c r="F104" t="s">
        <v>155</v>
      </c>
    </row>
    <row r="105" spans="5:6" x14ac:dyDescent="0.25">
      <c r="E105" s="15" t="s">
        <v>316</v>
      </c>
      <c r="F105" t="s">
        <v>156</v>
      </c>
    </row>
    <row r="106" spans="5:6" x14ac:dyDescent="0.25">
      <c r="E106" s="15" t="s">
        <v>317</v>
      </c>
      <c r="F106" t="s">
        <v>157</v>
      </c>
    </row>
    <row r="107" spans="5:6" x14ac:dyDescent="0.25">
      <c r="E107" s="15" t="s">
        <v>318</v>
      </c>
      <c r="F107" t="s">
        <v>158</v>
      </c>
    </row>
    <row r="108" spans="5:6" x14ac:dyDescent="0.25">
      <c r="E108" s="15" t="s">
        <v>319</v>
      </c>
      <c r="F108" t="s">
        <v>159</v>
      </c>
    </row>
    <row r="109" spans="5:6" x14ac:dyDescent="0.25">
      <c r="E109" s="15" t="s">
        <v>320</v>
      </c>
      <c r="F109" t="s">
        <v>160</v>
      </c>
    </row>
    <row r="110" spans="5:6" x14ac:dyDescent="0.25">
      <c r="E110" s="15" t="s">
        <v>321</v>
      </c>
      <c r="F110" t="s">
        <v>161</v>
      </c>
    </row>
    <row r="111" spans="5:6" x14ac:dyDescent="0.25">
      <c r="E111" s="15" t="s">
        <v>322</v>
      </c>
      <c r="F111" t="s">
        <v>162</v>
      </c>
    </row>
    <row r="112" spans="5:6" x14ac:dyDescent="0.25">
      <c r="E112" s="15" t="s">
        <v>323</v>
      </c>
      <c r="F112" t="s">
        <v>163</v>
      </c>
    </row>
    <row r="113" spans="5:6" x14ac:dyDescent="0.25">
      <c r="E113" s="15" t="s">
        <v>324</v>
      </c>
      <c r="F113" t="s">
        <v>164</v>
      </c>
    </row>
    <row r="114" spans="5:6" x14ac:dyDescent="0.25">
      <c r="E114" s="15" t="s">
        <v>325</v>
      </c>
      <c r="F114" t="s">
        <v>165</v>
      </c>
    </row>
    <row r="115" spans="5:6" x14ac:dyDescent="0.25">
      <c r="E115" s="15" t="s">
        <v>326</v>
      </c>
      <c r="F115" t="s">
        <v>166</v>
      </c>
    </row>
    <row r="116" spans="5:6" x14ac:dyDescent="0.25">
      <c r="E116" s="15" t="s">
        <v>327</v>
      </c>
      <c r="F116" t="s">
        <v>167</v>
      </c>
    </row>
    <row r="117" spans="5:6" x14ac:dyDescent="0.25">
      <c r="E117" s="15" t="s">
        <v>328</v>
      </c>
      <c r="F117" t="s">
        <v>168</v>
      </c>
    </row>
    <row r="118" spans="5:6" x14ac:dyDescent="0.25">
      <c r="E118" s="15" t="s">
        <v>329</v>
      </c>
      <c r="F118" t="s">
        <v>169</v>
      </c>
    </row>
    <row r="119" spans="5:6" x14ac:dyDescent="0.25">
      <c r="E119" s="15" t="s">
        <v>330</v>
      </c>
      <c r="F119" t="s">
        <v>170</v>
      </c>
    </row>
    <row r="120" spans="5:6" x14ac:dyDescent="0.25">
      <c r="E120" s="15" t="s">
        <v>331</v>
      </c>
      <c r="F120" t="s">
        <v>171</v>
      </c>
    </row>
    <row r="121" spans="5:6" x14ac:dyDescent="0.25">
      <c r="E121" s="15" t="s">
        <v>332</v>
      </c>
      <c r="F121" t="s">
        <v>172</v>
      </c>
    </row>
    <row r="122" spans="5:6" x14ac:dyDescent="0.25">
      <c r="E122" s="15" t="s">
        <v>333</v>
      </c>
      <c r="F122" t="s">
        <v>173</v>
      </c>
    </row>
    <row r="123" spans="5:6" x14ac:dyDescent="0.25">
      <c r="E123" s="15" t="s">
        <v>334</v>
      </c>
      <c r="F123" t="s">
        <v>174</v>
      </c>
    </row>
    <row r="124" spans="5:6" x14ac:dyDescent="0.25">
      <c r="E124" s="15" t="s">
        <v>335</v>
      </c>
      <c r="F124" t="s">
        <v>175</v>
      </c>
    </row>
    <row r="125" spans="5:6" x14ac:dyDescent="0.25">
      <c r="E125" s="15" t="s">
        <v>336</v>
      </c>
      <c r="F125" t="s">
        <v>176</v>
      </c>
    </row>
    <row r="126" spans="5:6" x14ac:dyDescent="0.25">
      <c r="E126" s="15" t="s">
        <v>337</v>
      </c>
      <c r="F126" t="s">
        <v>177</v>
      </c>
    </row>
    <row r="127" spans="5:6" x14ac:dyDescent="0.25">
      <c r="E127" s="15" t="s">
        <v>338</v>
      </c>
      <c r="F127" t="s">
        <v>178</v>
      </c>
    </row>
    <row r="128" spans="5:6" x14ac:dyDescent="0.25">
      <c r="E128" s="15" t="s">
        <v>339</v>
      </c>
      <c r="F128" t="s">
        <v>179</v>
      </c>
    </row>
    <row r="129" spans="5:6" x14ac:dyDescent="0.25">
      <c r="E129" s="15" t="s">
        <v>340</v>
      </c>
      <c r="F129" t="s">
        <v>180</v>
      </c>
    </row>
    <row r="130" spans="5:6" x14ac:dyDescent="0.25">
      <c r="E130" s="15" t="s">
        <v>341</v>
      </c>
      <c r="F130" t="s">
        <v>181</v>
      </c>
    </row>
    <row r="131" spans="5:6" x14ac:dyDescent="0.25">
      <c r="E131" s="15" t="s">
        <v>342</v>
      </c>
      <c r="F131" t="s">
        <v>182</v>
      </c>
    </row>
    <row r="132" spans="5:6" x14ac:dyDescent="0.25">
      <c r="E132" s="15" t="s">
        <v>343</v>
      </c>
      <c r="F132" t="s">
        <v>183</v>
      </c>
    </row>
    <row r="133" spans="5:6" x14ac:dyDescent="0.25">
      <c r="E133" s="15" t="s">
        <v>344</v>
      </c>
      <c r="F133" t="s">
        <v>184</v>
      </c>
    </row>
    <row r="134" spans="5:6" x14ac:dyDescent="0.25">
      <c r="E134" s="15" t="s">
        <v>345</v>
      </c>
      <c r="F134" t="s">
        <v>185</v>
      </c>
    </row>
    <row r="135" spans="5:6" x14ac:dyDescent="0.25">
      <c r="E135" s="15" t="s">
        <v>346</v>
      </c>
      <c r="F135" t="s">
        <v>186</v>
      </c>
    </row>
    <row r="136" spans="5:6" x14ac:dyDescent="0.25">
      <c r="E136" s="15" t="s">
        <v>347</v>
      </c>
      <c r="F136" t="s">
        <v>187</v>
      </c>
    </row>
    <row r="137" spans="5:6" x14ac:dyDescent="0.25">
      <c r="E137" s="15" t="s">
        <v>348</v>
      </c>
      <c r="F137" t="s">
        <v>188</v>
      </c>
    </row>
    <row r="138" spans="5:6" x14ac:dyDescent="0.25">
      <c r="E138" s="15" t="s">
        <v>349</v>
      </c>
      <c r="F138" t="s">
        <v>189</v>
      </c>
    </row>
    <row r="139" spans="5:6" x14ac:dyDescent="0.25">
      <c r="E139" s="15" t="s">
        <v>350</v>
      </c>
      <c r="F139" t="s">
        <v>190</v>
      </c>
    </row>
    <row r="140" spans="5:6" x14ac:dyDescent="0.25">
      <c r="E140" s="15" t="s">
        <v>351</v>
      </c>
      <c r="F140" t="s">
        <v>191</v>
      </c>
    </row>
    <row r="141" spans="5:6" x14ac:dyDescent="0.25">
      <c r="E141" s="15" t="s">
        <v>352</v>
      </c>
      <c r="F141" t="s">
        <v>192</v>
      </c>
    </row>
    <row r="142" spans="5:6" x14ac:dyDescent="0.25">
      <c r="E142" s="15" t="s">
        <v>353</v>
      </c>
      <c r="F142" t="s">
        <v>193</v>
      </c>
    </row>
    <row r="143" spans="5:6" x14ac:dyDescent="0.25">
      <c r="E143" s="15" t="s">
        <v>354</v>
      </c>
      <c r="F143" t="s">
        <v>194</v>
      </c>
    </row>
    <row r="144" spans="5:6" x14ac:dyDescent="0.25">
      <c r="E144" s="15" t="s">
        <v>355</v>
      </c>
      <c r="F144" t="s">
        <v>195</v>
      </c>
    </row>
    <row r="145" spans="5:6" x14ac:dyDescent="0.25">
      <c r="E145" s="15" t="s">
        <v>356</v>
      </c>
      <c r="F145" t="s">
        <v>196</v>
      </c>
    </row>
    <row r="146" spans="5:6" x14ac:dyDescent="0.25">
      <c r="E146" s="15" t="s">
        <v>357</v>
      </c>
      <c r="F146" t="s">
        <v>197</v>
      </c>
    </row>
    <row r="147" spans="5:6" x14ac:dyDescent="0.25">
      <c r="E147" s="15" t="s">
        <v>358</v>
      </c>
      <c r="F147" t="s">
        <v>198</v>
      </c>
    </row>
    <row r="148" spans="5:6" x14ac:dyDescent="0.25">
      <c r="E148" s="15" t="s">
        <v>359</v>
      </c>
      <c r="F148" t="s">
        <v>199</v>
      </c>
    </row>
    <row r="149" spans="5:6" x14ac:dyDescent="0.25">
      <c r="E149" s="15" t="s">
        <v>360</v>
      </c>
      <c r="F149" t="s">
        <v>200</v>
      </c>
    </row>
    <row r="150" spans="5:6" x14ac:dyDescent="0.25">
      <c r="E150" s="15" t="s">
        <v>361</v>
      </c>
      <c r="F150" t="s">
        <v>201</v>
      </c>
    </row>
    <row r="151" spans="5:6" x14ac:dyDescent="0.25">
      <c r="E151" s="15" t="s">
        <v>362</v>
      </c>
      <c r="F151" t="s">
        <v>202</v>
      </c>
    </row>
    <row r="152" spans="5:6" x14ac:dyDescent="0.25">
      <c r="E152" s="15" t="s">
        <v>363</v>
      </c>
      <c r="F152" t="s">
        <v>203</v>
      </c>
    </row>
    <row r="153" spans="5:6" x14ac:dyDescent="0.25">
      <c r="E153" s="15" t="s">
        <v>364</v>
      </c>
      <c r="F153" t="s">
        <v>204</v>
      </c>
    </row>
    <row r="154" spans="5:6" x14ac:dyDescent="0.25">
      <c r="E154" s="15" t="s">
        <v>365</v>
      </c>
      <c r="F154" t="s">
        <v>205</v>
      </c>
    </row>
    <row r="155" spans="5:6" x14ac:dyDescent="0.25">
      <c r="E155" s="15" t="s">
        <v>366</v>
      </c>
      <c r="F155" t="s">
        <v>206</v>
      </c>
    </row>
    <row r="156" spans="5:6" x14ac:dyDescent="0.25">
      <c r="E156" s="15" t="s">
        <v>367</v>
      </c>
      <c r="F156" t="s">
        <v>207</v>
      </c>
    </row>
    <row r="157" spans="5:6" x14ac:dyDescent="0.25">
      <c r="E157" s="15" t="s">
        <v>368</v>
      </c>
      <c r="F157" t="s">
        <v>208</v>
      </c>
    </row>
    <row r="158" spans="5:6" x14ac:dyDescent="0.25">
      <c r="E158" s="15" t="s">
        <v>369</v>
      </c>
      <c r="F158" t="s">
        <v>209</v>
      </c>
    </row>
    <row r="159" spans="5:6" x14ac:dyDescent="0.25">
      <c r="E159" s="15" t="s">
        <v>370</v>
      </c>
      <c r="F159" t="s">
        <v>210</v>
      </c>
    </row>
    <row r="160" spans="5:6" x14ac:dyDescent="0.25">
      <c r="E160" s="15" t="s">
        <v>371</v>
      </c>
      <c r="F160" t="s">
        <v>211</v>
      </c>
    </row>
    <row r="161" spans="5:6" x14ac:dyDescent="0.25">
      <c r="E161" s="15" t="s">
        <v>372</v>
      </c>
      <c r="F161" t="s">
        <v>212</v>
      </c>
    </row>
  </sheetData>
  <sheetProtection algorithmName="SHA-512" hashValue="fb2zsFyWZAPAtSRsTEYPU7LH4KMQZ9rREdHhbedV/CO7KXdjn8k2dPfDgp7EXLNZ2XdJfU52mND6/jar3sr9GA==" saltValue="DPo6Y50VLzIxODA7bWvb0A==" spinCount="100000" sheet="1" objects="1" scenarios="1"/>
  <mergeCells count="1">
    <mergeCell ref="I1:J1"/>
  </mergeCells>
  <dataValidations count="1">
    <dataValidation type="list" allowBlank="1" showInputMessage="1" sqref="H2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41"/>
  <sheetViews>
    <sheetView showGridLines="0" tabSelected="1" zoomScale="85" zoomScaleNormal="85" workbookViewId="0">
      <selection activeCell="D19" sqref="D19"/>
    </sheetView>
  </sheetViews>
  <sheetFormatPr baseColWidth="10" defaultRowHeight="14.25" x14ac:dyDescent="0.2"/>
  <cols>
    <col min="1" max="1" width="20.85546875" style="2" customWidth="1"/>
    <col min="2" max="2" width="16.7109375" style="1" customWidth="1"/>
    <col min="3" max="3" width="9.28515625" style="28" customWidth="1"/>
    <col min="4" max="4" width="38.42578125" style="1" customWidth="1"/>
    <col min="5" max="5" width="18.42578125" style="1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28" customWidth="1"/>
    <col min="11" max="11" width="23.42578125" style="2" customWidth="1"/>
    <col min="12" max="12" width="19.7109375" style="1" bestFit="1" customWidth="1"/>
    <col min="13" max="16384" width="11.42578125" style="1"/>
  </cols>
  <sheetData>
    <row r="1" spans="1:12" ht="19.5" x14ac:dyDescent="0.3">
      <c r="A1" s="56" t="s">
        <v>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</row>
    <row r="2" spans="1:12" ht="19.5" x14ac:dyDescent="0.3">
      <c r="A2" s="13"/>
      <c r="B2" s="13"/>
      <c r="C2" s="25"/>
      <c r="D2" s="13"/>
      <c r="E2" s="13"/>
      <c r="F2" s="13"/>
      <c r="G2" s="13"/>
      <c r="H2" s="13"/>
      <c r="I2" s="13"/>
      <c r="J2" s="25"/>
      <c r="K2" s="29"/>
      <c r="L2" s="13"/>
    </row>
    <row r="3" spans="1:12" ht="19.5" x14ac:dyDescent="0.3">
      <c r="A3" s="13"/>
      <c r="B3" s="13"/>
      <c r="C3" s="25"/>
      <c r="D3" s="13"/>
      <c r="E3" s="13"/>
      <c r="F3" s="13"/>
      <c r="G3" s="33"/>
      <c r="H3" s="13"/>
      <c r="I3" s="13"/>
      <c r="J3" s="25"/>
      <c r="K3" s="29"/>
      <c r="L3" s="13"/>
    </row>
    <row r="4" spans="1:12" ht="19.5" x14ac:dyDescent="0.3">
      <c r="A4" s="13"/>
      <c r="B4" s="13"/>
      <c r="C4" s="25"/>
      <c r="D4" s="13"/>
      <c r="E4" s="13"/>
      <c r="F4" s="13"/>
      <c r="G4" s="13"/>
      <c r="H4" s="13"/>
      <c r="I4" s="13"/>
      <c r="J4" s="25"/>
      <c r="K4" s="29"/>
      <c r="L4" s="13"/>
    </row>
    <row r="5" spans="1:12" ht="20.25" thickBot="1" x14ac:dyDescent="0.35">
      <c r="A5" s="13"/>
      <c r="B5" s="13"/>
      <c r="C5" s="25"/>
      <c r="D5" s="13"/>
      <c r="E5" s="13"/>
      <c r="F5" s="13"/>
      <c r="G5" s="13"/>
      <c r="H5" s="13"/>
      <c r="I5" s="13"/>
      <c r="J5" s="25"/>
      <c r="K5" s="29"/>
      <c r="L5" s="13"/>
    </row>
    <row r="6" spans="1:12" ht="15.75" thickBot="1" x14ac:dyDescent="0.3">
      <c r="A6" s="11" t="s">
        <v>2</v>
      </c>
      <c r="B6" s="21">
        <f ca="1">NOW()</f>
        <v>44378.371745717595</v>
      </c>
      <c r="C6" s="57" t="s">
        <v>36</v>
      </c>
      <c r="D6" s="58"/>
      <c r="E6" s="54"/>
      <c r="F6" s="12" t="s">
        <v>37</v>
      </c>
      <c r="G6" s="14" t="s">
        <v>1</v>
      </c>
      <c r="H6" s="61" t="s">
        <v>3</v>
      </c>
      <c r="I6" s="62"/>
      <c r="J6" s="59"/>
      <c r="K6" s="60"/>
      <c r="L6" s="9"/>
    </row>
    <row r="7" spans="1:12" s="9" customFormat="1" ht="15" thickBot="1" x14ac:dyDescent="0.25">
      <c r="A7" s="10"/>
      <c r="C7" s="26"/>
      <c r="J7" s="26"/>
      <c r="K7" s="10"/>
    </row>
    <row r="8" spans="1:12" ht="33.75" customHeight="1" thickBot="1" x14ac:dyDescent="0.25">
      <c r="A8" s="36" t="s">
        <v>4</v>
      </c>
      <c r="B8" s="37" t="s">
        <v>5</v>
      </c>
      <c r="C8" s="38" t="s">
        <v>516</v>
      </c>
      <c r="D8" s="39" t="s">
        <v>38</v>
      </c>
      <c r="E8" s="40" t="s">
        <v>6</v>
      </c>
      <c r="F8" s="37" t="s">
        <v>7</v>
      </c>
      <c r="G8" s="37" t="s">
        <v>8</v>
      </c>
      <c r="H8" s="37" t="s">
        <v>9</v>
      </c>
      <c r="I8" s="41" t="s">
        <v>497</v>
      </c>
      <c r="J8" s="39" t="s">
        <v>517</v>
      </c>
      <c r="K8" s="39" t="s">
        <v>518</v>
      </c>
      <c r="L8" s="42" t="s">
        <v>10</v>
      </c>
    </row>
    <row r="9" spans="1:12" ht="16.5" customHeight="1" x14ac:dyDescent="0.2">
      <c r="A9" s="50" t="s">
        <v>11</v>
      </c>
      <c r="B9" s="22" t="s">
        <v>12</v>
      </c>
      <c r="C9" s="20"/>
      <c r="D9" s="22" t="e">
        <f>VLOOKUP(C9,DATOS!$E$2:$F$161,2,FALSE)</f>
        <v>#N/A</v>
      </c>
      <c r="E9" s="20"/>
      <c r="F9" s="4"/>
      <c r="G9" s="4"/>
      <c r="H9" s="4"/>
      <c r="I9" s="34"/>
      <c r="J9" s="20"/>
      <c r="K9" s="30" t="str">
        <f>IFERROR(VLOOKUP(J9,DATOS!$I$2:$J$63,2,FALSE),"SIN PARO")</f>
        <v>SIN PARO</v>
      </c>
      <c r="L9" s="5"/>
    </row>
    <row r="10" spans="1:12" ht="16.5" customHeight="1" x14ac:dyDescent="0.2">
      <c r="A10" s="51" t="s">
        <v>11</v>
      </c>
      <c r="B10" s="23" t="s">
        <v>12</v>
      </c>
      <c r="C10" s="27"/>
      <c r="D10" s="23" t="e">
        <f>VLOOKUP(C10,DATOS!$E$2:$F$161,2,FALSE)</f>
        <v>#N/A</v>
      </c>
      <c r="E10" s="27" t="s">
        <v>499</v>
      </c>
      <c r="F10" s="27"/>
      <c r="G10" s="27"/>
      <c r="H10" s="27"/>
      <c r="I10" s="35"/>
      <c r="J10" s="27"/>
      <c r="K10" s="31" t="str">
        <f>IFERROR(VLOOKUP(J10,DATOS!$I$2:$J$63,2,FALSE),"SIN PARO")</f>
        <v>SIN PARO</v>
      </c>
      <c r="L10" s="7"/>
    </row>
    <row r="11" spans="1:12" ht="16.5" customHeight="1" x14ac:dyDescent="0.2">
      <c r="A11" s="51" t="s">
        <v>11</v>
      </c>
      <c r="B11" s="23" t="s">
        <v>13</v>
      </c>
      <c r="C11" s="27"/>
      <c r="D11" s="23" t="e">
        <f>VLOOKUP(C11,DATOS!$E$2:$F$161,2,FALSE)</f>
        <v>#N/A</v>
      </c>
      <c r="E11" s="27">
        <v>1004525</v>
      </c>
      <c r="F11" s="27"/>
      <c r="G11" s="27"/>
      <c r="H11" s="27"/>
      <c r="I11" s="35"/>
      <c r="J11" s="27"/>
      <c r="K11" s="31" t="str">
        <f>IFERROR(VLOOKUP(J11,DATOS!$I$2:$J$63,2,FALSE),"SIN PARO")</f>
        <v>SIN PARO</v>
      </c>
      <c r="L11" s="7"/>
    </row>
    <row r="12" spans="1:12" ht="16.5" customHeight="1" thickBot="1" x14ac:dyDescent="0.25">
      <c r="A12" s="52" t="s">
        <v>11</v>
      </c>
      <c r="B12" s="24" t="s">
        <v>13</v>
      </c>
      <c r="C12" s="43"/>
      <c r="D12" s="24" t="e">
        <f>VLOOKUP(C12,DATOS!$E$2:$F$161,2,FALSE)</f>
        <v>#N/A</v>
      </c>
      <c r="E12" s="43"/>
      <c r="F12" s="43"/>
      <c r="G12" s="43"/>
      <c r="H12" s="43"/>
      <c r="I12" s="44"/>
      <c r="J12" s="43"/>
      <c r="K12" s="32" t="str">
        <f>IFERROR(VLOOKUP(J12,DATOS!$I$2:$J$63,2,FALSE),"SIN PARO")</f>
        <v>SIN PARO</v>
      </c>
      <c r="L12" s="6"/>
    </row>
    <row r="13" spans="1:12" ht="30.75" customHeight="1" x14ac:dyDescent="0.2">
      <c r="A13" s="50" t="s">
        <v>14</v>
      </c>
      <c r="B13" s="22" t="s">
        <v>15</v>
      </c>
      <c r="C13" s="20"/>
      <c r="D13" s="22" t="e">
        <f>VLOOKUP(C13,DATOS!$E$2:$F$161,2,FALSE)</f>
        <v>#N/A</v>
      </c>
      <c r="E13" s="20"/>
      <c r="F13" s="20"/>
      <c r="G13" s="20"/>
      <c r="H13" s="20"/>
      <c r="I13" s="45"/>
      <c r="J13" s="20"/>
      <c r="K13" s="30" t="str">
        <f>IFERROR(VLOOKUP(J13,DATOS!$I$2:$J$63,2,FALSE),"SIN PARO")</f>
        <v>SIN PARO</v>
      </c>
      <c r="L13" s="5"/>
    </row>
    <row r="14" spans="1:12" ht="30.75" customHeight="1" x14ac:dyDescent="0.2">
      <c r="A14" s="51" t="s">
        <v>14</v>
      </c>
      <c r="B14" s="23" t="s">
        <v>15</v>
      </c>
      <c r="C14" s="27"/>
      <c r="D14" s="23" t="e">
        <f>VLOOKUP(C14,DATOS!$E$2:$F$161,2,FALSE)</f>
        <v>#N/A</v>
      </c>
      <c r="E14" s="27"/>
      <c r="F14" s="27"/>
      <c r="G14" s="27"/>
      <c r="H14" s="27"/>
      <c r="I14" s="35"/>
      <c r="J14" s="27"/>
      <c r="K14" s="31" t="str">
        <f>IFERROR(VLOOKUP(J14,DATOS!$I$2:$J$63,2,FALSE),"SIN PARO")</f>
        <v>SIN PARO</v>
      </c>
      <c r="L14" s="7"/>
    </row>
    <row r="15" spans="1:12" ht="30.75" customHeight="1" x14ac:dyDescent="0.2">
      <c r="A15" s="51" t="s">
        <v>14</v>
      </c>
      <c r="B15" s="23" t="s">
        <v>16</v>
      </c>
      <c r="C15" s="27"/>
      <c r="D15" s="23" t="e">
        <f>VLOOKUP(C15,DATOS!$E$2:$F$161,2,FALSE)</f>
        <v>#N/A</v>
      </c>
      <c r="E15" s="27"/>
      <c r="F15" s="27"/>
      <c r="G15" s="27"/>
      <c r="H15" s="27"/>
      <c r="I15" s="35"/>
      <c r="J15" s="27"/>
      <c r="K15" s="31" t="str">
        <f>IFERROR(VLOOKUP(J15,DATOS!$I$2:$J$63,2,FALSE),"SIN PARO")</f>
        <v>SIN PARO</v>
      </c>
      <c r="L15" s="7"/>
    </row>
    <row r="16" spans="1:12" ht="30.75" customHeight="1" thickBot="1" x14ac:dyDescent="0.25">
      <c r="A16" s="52" t="s">
        <v>14</v>
      </c>
      <c r="B16" s="24" t="s">
        <v>17</v>
      </c>
      <c r="C16" s="43"/>
      <c r="D16" s="24" t="e">
        <f>VLOOKUP(C16,DATOS!$E$2:$F$161,2,FALSE)</f>
        <v>#N/A</v>
      </c>
      <c r="E16" s="43"/>
      <c r="F16" s="43"/>
      <c r="G16" s="43"/>
      <c r="H16" s="43"/>
      <c r="I16" s="44"/>
      <c r="J16" s="43"/>
      <c r="K16" s="32" t="str">
        <f>IFERROR(VLOOKUP(J16,DATOS!$I$2:$J$63,2,FALSE),"SIN PARO")</f>
        <v>SIN PARO</v>
      </c>
      <c r="L16" s="6"/>
    </row>
    <row r="17" spans="1:12" ht="16.5" customHeight="1" x14ac:dyDescent="0.2">
      <c r="A17" s="50" t="s">
        <v>18</v>
      </c>
      <c r="B17" s="22" t="s">
        <v>19</v>
      </c>
      <c r="C17" s="20"/>
      <c r="D17" s="22" t="e">
        <f>VLOOKUP(C17,DATOS!$E$2:$F$161,2,FALSE)</f>
        <v>#N/A</v>
      </c>
      <c r="E17" s="20"/>
      <c r="F17" s="20"/>
      <c r="G17" s="20"/>
      <c r="H17" s="20"/>
      <c r="I17" s="45"/>
      <c r="J17" s="20"/>
      <c r="K17" s="30" t="str">
        <f>IFERROR(VLOOKUP(J17,DATOS!$I$2:$J$63,2,FALSE),"SIN PARO")</f>
        <v>SIN PARO</v>
      </c>
      <c r="L17" s="5"/>
    </row>
    <row r="18" spans="1:12" ht="16.5" customHeight="1" x14ac:dyDescent="0.2">
      <c r="A18" s="51" t="s">
        <v>18</v>
      </c>
      <c r="B18" s="23" t="s">
        <v>19</v>
      </c>
      <c r="C18" s="27"/>
      <c r="D18" s="23" t="e">
        <f>VLOOKUP(C18,DATOS!$E$2:$F$161,2,FALSE)</f>
        <v>#N/A</v>
      </c>
      <c r="E18" s="27"/>
      <c r="F18" s="27"/>
      <c r="G18" s="27"/>
      <c r="H18" s="27"/>
      <c r="I18" s="35"/>
      <c r="J18" s="27"/>
      <c r="K18" s="31" t="str">
        <f>IFERROR(VLOOKUP(J18,DATOS!$I$2:$J$63,2,FALSE),"SIN PARO")</f>
        <v>SIN PARO</v>
      </c>
      <c r="L18" s="7"/>
    </row>
    <row r="19" spans="1:12" ht="16.5" customHeight="1" x14ac:dyDescent="0.2">
      <c r="A19" s="51" t="s">
        <v>18</v>
      </c>
      <c r="B19" s="23" t="s">
        <v>20</v>
      </c>
      <c r="C19" s="27"/>
      <c r="D19" s="23" t="e">
        <f>VLOOKUP(C19,DATOS!$E$2:$F$161,2,FALSE)</f>
        <v>#N/A</v>
      </c>
      <c r="E19" s="27"/>
      <c r="F19" s="27"/>
      <c r="G19" s="27"/>
      <c r="H19" s="27"/>
      <c r="I19" s="35"/>
      <c r="J19" s="27"/>
      <c r="K19" s="31" t="str">
        <f>IFERROR(VLOOKUP(J19,DATOS!$I$2:$J$63,2,FALSE),"SIN PARO")</f>
        <v>SIN PARO</v>
      </c>
      <c r="L19" s="7"/>
    </row>
    <row r="20" spans="1:12" ht="16.5" customHeight="1" x14ac:dyDescent="0.2">
      <c r="A20" s="51" t="s">
        <v>18</v>
      </c>
      <c r="B20" s="23" t="s">
        <v>20</v>
      </c>
      <c r="C20" s="27"/>
      <c r="D20" s="23" t="e">
        <f>VLOOKUP(C20,DATOS!$E$2:$F$161,2,FALSE)</f>
        <v>#N/A</v>
      </c>
      <c r="E20" s="27"/>
      <c r="F20" s="27"/>
      <c r="G20" s="27"/>
      <c r="H20" s="27"/>
      <c r="I20" s="35"/>
      <c r="J20" s="27"/>
      <c r="K20" s="31" t="str">
        <f>IFERROR(VLOOKUP(J20,DATOS!$I$2:$J$63,2,FALSE),"SIN PARO")</f>
        <v>SIN PARO</v>
      </c>
      <c r="L20" s="7"/>
    </row>
    <row r="21" spans="1:12" ht="16.5" customHeight="1" x14ac:dyDescent="0.2">
      <c r="A21" s="51" t="s">
        <v>18</v>
      </c>
      <c r="B21" s="23" t="s">
        <v>21</v>
      </c>
      <c r="C21" s="27"/>
      <c r="D21" s="23" t="e">
        <f>VLOOKUP(C21,DATOS!$E$2:$F$161,2,FALSE)</f>
        <v>#N/A</v>
      </c>
      <c r="E21" s="27"/>
      <c r="F21" s="27"/>
      <c r="G21" s="27"/>
      <c r="H21" s="27"/>
      <c r="I21" s="35"/>
      <c r="J21" s="27"/>
      <c r="K21" s="31" t="str">
        <f>IFERROR(VLOOKUP(J21,DATOS!$I$2:$J$63,2,FALSE),"SIN PARO")</f>
        <v>SIN PARO</v>
      </c>
      <c r="L21" s="7"/>
    </row>
    <row r="22" spans="1:12" ht="16.5" customHeight="1" x14ac:dyDescent="0.2">
      <c r="A22" s="51" t="s">
        <v>18</v>
      </c>
      <c r="B22" s="23" t="s">
        <v>21</v>
      </c>
      <c r="C22" s="27"/>
      <c r="D22" s="23" t="e">
        <f>VLOOKUP(C22,DATOS!$E$2:$F$161,2,FALSE)</f>
        <v>#N/A</v>
      </c>
      <c r="E22" s="27"/>
      <c r="F22" s="27"/>
      <c r="G22" s="27"/>
      <c r="H22" s="27"/>
      <c r="I22" s="35"/>
      <c r="J22" s="27"/>
      <c r="K22" s="31" t="str">
        <f>IFERROR(VLOOKUP(J22,DATOS!$I$2:$J$63,2,FALSE),"SIN PARO")</f>
        <v>SIN PARO</v>
      </c>
      <c r="L22" s="7"/>
    </row>
    <row r="23" spans="1:12" ht="16.5" customHeight="1" x14ac:dyDescent="0.2">
      <c r="A23" s="51" t="s">
        <v>18</v>
      </c>
      <c r="B23" s="23" t="s">
        <v>22</v>
      </c>
      <c r="C23" s="27"/>
      <c r="D23" s="23" t="e">
        <f>VLOOKUP(C23,DATOS!$E$2:$F$161,2,FALSE)</f>
        <v>#N/A</v>
      </c>
      <c r="E23" s="27"/>
      <c r="F23" s="27"/>
      <c r="G23" s="27"/>
      <c r="H23" s="27"/>
      <c r="I23" s="35"/>
      <c r="J23" s="27"/>
      <c r="K23" s="31" t="str">
        <f>IFERROR(VLOOKUP(J23,DATOS!$I$2:$J$63,2,FALSE),"SIN PARO")</f>
        <v>SIN PARO</v>
      </c>
      <c r="L23" s="7"/>
    </row>
    <row r="24" spans="1:12" ht="16.5" customHeight="1" x14ac:dyDescent="0.2">
      <c r="A24" s="51" t="s">
        <v>18</v>
      </c>
      <c r="B24" s="23" t="s">
        <v>22</v>
      </c>
      <c r="C24" s="27"/>
      <c r="D24" s="23" t="e">
        <f>VLOOKUP(C24,DATOS!$E$2:$F$161,2,FALSE)</f>
        <v>#N/A</v>
      </c>
      <c r="E24" s="27"/>
      <c r="F24" s="27"/>
      <c r="G24" s="27"/>
      <c r="H24" s="27"/>
      <c r="I24" s="35"/>
      <c r="J24" s="27"/>
      <c r="K24" s="31" t="str">
        <f>IFERROR(VLOOKUP(J24,DATOS!$I$2:$J$63,2,FALSE),"SIN PARO")</f>
        <v>SIN PARO</v>
      </c>
      <c r="L24" s="7"/>
    </row>
    <row r="25" spans="1:12" ht="16.5" customHeight="1" x14ac:dyDescent="0.2">
      <c r="A25" s="51" t="s">
        <v>18</v>
      </c>
      <c r="B25" s="23" t="s">
        <v>23</v>
      </c>
      <c r="C25" s="27"/>
      <c r="D25" s="23" t="e">
        <f>VLOOKUP(C25,DATOS!$E$2:$F$161,2,FALSE)</f>
        <v>#N/A</v>
      </c>
      <c r="E25" s="27"/>
      <c r="F25" s="27"/>
      <c r="G25" s="27"/>
      <c r="H25" s="27"/>
      <c r="I25" s="35"/>
      <c r="J25" s="27"/>
      <c r="K25" s="31" t="str">
        <f>IFERROR(VLOOKUP(J25,DATOS!$I$2:$J$63,2,FALSE),"SIN PARO")</f>
        <v>SIN PARO</v>
      </c>
      <c r="L25" s="7"/>
    </row>
    <row r="26" spans="1:12" ht="16.5" customHeight="1" x14ac:dyDescent="0.2">
      <c r="A26" s="51" t="s">
        <v>18</v>
      </c>
      <c r="B26" s="23" t="s">
        <v>23</v>
      </c>
      <c r="C26" s="27"/>
      <c r="D26" s="23" t="e">
        <f>VLOOKUP(C26,DATOS!$E$2:$F$161,2,FALSE)</f>
        <v>#N/A</v>
      </c>
      <c r="E26" s="27"/>
      <c r="F26" s="27"/>
      <c r="G26" s="27"/>
      <c r="H26" s="27"/>
      <c r="I26" s="35"/>
      <c r="J26" s="27"/>
      <c r="K26" s="31" t="str">
        <f>IFERROR(VLOOKUP(J26,DATOS!$I$2:$J$63,2,FALSE),"SIN PARO")</f>
        <v>SIN PARO</v>
      </c>
      <c r="L26" s="7"/>
    </row>
    <row r="27" spans="1:12" ht="16.5" customHeight="1" x14ac:dyDescent="0.2">
      <c r="A27" s="51" t="s">
        <v>18</v>
      </c>
      <c r="B27" s="23" t="s">
        <v>24</v>
      </c>
      <c r="C27" s="27"/>
      <c r="D27" s="23" t="e">
        <f>VLOOKUP(C27,DATOS!$E$2:$F$161,2,FALSE)</f>
        <v>#N/A</v>
      </c>
      <c r="E27" s="27"/>
      <c r="F27" s="27"/>
      <c r="G27" s="27"/>
      <c r="H27" s="27"/>
      <c r="I27" s="35"/>
      <c r="J27" s="27"/>
      <c r="K27" s="31" t="str">
        <f>IFERROR(VLOOKUP(J27,DATOS!$I$2:$J$63,2,FALSE),"SIN PARO")</f>
        <v>SIN PARO</v>
      </c>
      <c r="L27" s="7"/>
    </row>
    <row r="28" spans="1:12" ht="16.5" customHeight="1" x14ac:dyDescent="0.2">
      <c r="A28" s="51" t="s">
        <v>18</v>
      </c>
      <c r="B28" s="23" t="s">
        <v>24</v>
      </c>
      <c r="C28" s="27"/>
      <c r="D28" s="23" t="e">
        <f>VLOOKUP(C28,DATOS!$E$2:$F$161,2,FALSE)</f>
        <v>#N/A</v>
      </c>
      <c r="E28" s="27"/>
      <c r="F28" s="27"/>
      <c r="G28" s="27"/>
      <c r="H28" s="27"/>
      <c r="I28" s="35"/>
      <c r="J28" s="27"/>
      <c r="K28" s="31" t="str">
        <f>IFERROR(VLOOKUP(J28,DATOS!$I$2:$J$63,2,FALSE),"SIN PARO")</f>
        <v>SIN PARO</v>
      </c>
      <c r="L28" s="7"/>
    </row>
    <row r="29" spans="1:12" ht="16.5" customHeight="1" thickBot="1" x14ac:dyDescent="0.25">
      <c r="A29" s="52" t="s">
        <v>18</v>
      </c>
      <c r="B29" s="24" t="s">
        <v>520</v>
      </c>
      <c r="C29" s="43"/>
      <c r="D29" s="24" t="e">
        <f>VLOOKUP(C29,DATOS!$E$2:$F$161,2,FALSE)</f>
        <v>#N/A</v>
      </c>
      <c r="E29" s="43"/>
      <c r="F29" s="43"/>
      <c r="G29" s="43"/>
      <c r="H29" s="43"/>
      <c r="I29" s="44"/>
      <c r="J29" s="43"/>
      <c r="K29" s="32" t="str">
        <f>IFERROR(VLOOKUP(J29,DATOS!$I$2:$J$63,2,FALSE),"SIN PARO")</f>
        <v>SIN PARO</v>
      </c>
      <c r="L29" s="6"/>
    </row>
    <row r="30" spans="1:12" ht="30" x14ac:dyDescent="0.2">
      <c r="A30" s="50" t="s">
        <v>43</v>
      </c>
      <c r="B30" s="30" t="s">
        <v>43</v>
      </c>
      <c r="C30" s="20"/>
      <c r="D30" s="22" t="e">
        <f>VLOOKUP(C30,DATOS!$E$2:$F$161,2,FALSE)</f>
        <v>#N/A</v>
      </c>
      <c r="E30" s="20"/>
      <c r="F30" s="20"/>
      <c r="G30" s="20"/>
      <c r="H30" s="20"/>
      <c r="I30" s="45"/>
      <c r="J30" s="20"/>
      <c r="K30" s="30" t="str">
        <f>IFERROR(VLOOKUP(J30,DATOS!$I$2:$J$63,2,FALSE),"SIN PARO")</f>
        <v>SIN PARO</v>
      </c>
      <c r="L30" s="5"/>
    </row>
    <row r="31" spans="1:12" ht="30" x14ac:dyDescent="0.2">
      <c r="A31" s="51" t="s">
        <v>43</v>
      </c>
      <c r="B31" s="31" t="s">
        <v>43</v>
      </c>
      <c r="C31" s="27"/>
      <c r="D31" s="23" t="e">
        <f>VLOOKUP(C31,DATOS!$E$2:$F$161,2,FALSE)</f>
        <v>#N/A</v>
      </c>
      <c r="E31" s="27"/>
      <c r="F31" s="27"/>
      <c r="G31" s="27"/>
      <c r="H31" s="27"/>
      <c r="I31" s="35"/>
      <c r="J31" s="27"/>
      <c r="K31" s="31" t="str">
        <f>IFERROR(VLOOKUP(J31,DATOS!$I$2:$J$63,2,FALSE),"SIN PARO")</f>
        <v>SIN PARO</v>
      </c>
      <c r="L31" s="7"/>
    </row>
    <row r="32" spans="1:12" ht="30" x14ac:dyDescent="0.2">
      <c r="A32" s="51" t="s">
        <v>43</v>
      </c>
      <c r="B32" s="31" t="s">
        <v>43</v>
      </c>
      <c r="C32" s="27"/>
      <c r="D32" s="23" t="e">
        <f>VLOOKUP(C32,DATOS!$E$2:$F$161,2,FALSE)</f>
        <v>#N/A</v>
      </c>
      <c r="E32" s="27"/>
      <c r="F32" s="27"/>
      <c r="G32" s="27"/>
      <c r="H32" s="27"/>
      <c r="I32" s="35"/>
      <c r="J32" s="27"/>
      <c r="K32" s="31" t="str">
        <f>IFERROR(VLOOKUP(J32,DATOS!$I$2:$J$63,2,FALSE),"SIN PARO")</f>
        <v>SIN PARO</v>
      </c>
      <c r="L32" s="7"/>
    </row>
    <row r="33" spans="1:12" ht="30.75" thickBot="1" x14ac:dyDescent="0.25">
      <c r="A33" s="52" t="s">
        <v>43</v>
      </c>
      <c r="B33" s="32" t="s">
        <v>43</v>
      </c>
      <c r="C33" s="43"/>
      <c r="D33" s="24" t="e">
        <f>VLOOKUP(C33,DATOS!$E$2:$F$161,2,FALSE)</f>
        <v>#N/A</v>
      </c>
      <c r="E33" s="43"/>
      <c r="F33" s="43"/>
      <c r="G33" s="43"/>
      <c r="H33" s="43"/>
      <c r="I33" s="44"/>
      <c r="J33" s="43"/>
      <c r="K33" s="32" t="str">
        <f>IFERROR(VLOOKUP(J33,DATOS!$I$2:$J$63,2,FALSE),"SIN PARO")</f>
        <v>SIN PARO</v>
      </c>
      <c r="L33" s="6"/>
    </row>
    <row r="34" spans="1:12" ht="15.75" thickBot="1" x14ac:dyDescent="0.25">
      <c r="A34" s="53" t="s">
        <v>44</v>
      </c>
      <c r="B34" s="46" t="s">
        <v>44</v>
      </c>
      <c r="C34" s="47"/>
      <c r="D34" s="46" t="e">
        <f>VLOOKUP(C34,DATOS!$E$2:$F$161,2,FALSE)</f>
        <v>#N/A</v>
      </c>
      <c r="E34" s="47"/>
      <c r="F34" s="47"/>
      <c r="G34" s="47"/>
      <c r="H34" s="47"/>
      <c r="I34" s="48"/>
      <c r="J34" s="47"/>
      <c r="K34" s="49" t="str">
        <f>IFERROR(VLOOKUP(J34,DATOS!$I$2:$J$63,2,FALSE),"SIN PARO")</f>
        <v>SIN PARO</v>
      </c>
      <c r="L34" s="8"/>
    </row>
    <row r="35" spans="1:12" ht="30.75" thickBot="1" x14ac:dyDescent="0.25">
      <c r="A35" s="53" t="s">
        <v>48</v>
      </c>
      <c r="B35" s="46" t="s">
        <v>48</v>
      </c>
      <c r="C35" s="47"/>
      <c r="D35" s="46" t="e">
        <f>VLOOKUP(C35,DATOS!$E$2:$F$161,2,FALSE)</f>
        <v>#N/A</v>
      </c>
      <c r="E35" s="47"/>
      <c r="F35" s="47"/>
      <c r="G35" s="47"/>
      <c r="H35" s="47"/>
      <c r="I35" s="48"/>
      <c r="J35" s="47"/>
      <c r="K35" s="49" t="str">
        <f>IFERROR(VLOOKUP(J35,DATOS!$I$2:$J$63,2,FALSE),"SIN PARO")</f>
        <v>SIN PARO</v>
      </c>
      <c r="L35" s="8"/>
    </row>
    <row r="36" spans="1:12" ht="16.5" customHeight="1" thickBot="1" x14ac:dyDescent="0.25">
      <c r="A36" s="53" t="s">
        <v>45</v>
      </c>
      <c r="B36" s="46" t="s">
        <v>45</v>
      </c>
      <c r="C36" s="47"/>
      <c r="D36" s="46" t="e">
        <f>VLOOKUP(C36,DATOS!$E$2:$F$161,2,FALSE)</f>
        <v>#N/A</v>
      </c>
      <c r="E36" s="47"/>
      <c r="F36" s="47"/>
      <c r="G36" s="47"/>
      <c r="H36" s="47"/>
      <c r="I36" s="48"/>
      <c r="J36" s="47"/>
      <c r="K36" s="49" t="str">
        <f>IFERROR(VLOOKUP(J36,DATOS!$I$2:$J$63,2,FALSE),"SIN PARO")</f>
        <v>SIN PARO</v>
      </c>
      <c r="L36" s="8"/>
    </row>
    <row r="37" spans="1:12" ht="16.5" customHeight="1" thickBot="1" x14ac:dyDescent="0.25">
      <c r="A37" s="53" t="s">
        <v>46</v>
      </c>
      <c r="B37" s="46" t="s">
        <v>46</v>
      </c>
      <c r="C37" s="47"/>
      <c r="D37" s="46" t="e">
        <f>VLOOKUP(C37,DATOS!$E$2:$F$161,2,FALSE)</f>
        <v>#N/A</v>
      </c>
      <c r="E37" s="47"/>
      <c r="F37" s="47"/>
      <c r="G37" s="47"/>
      <c r="H37" s="47"/>
      <c r="I37" s="48"/>
      <c r="J37" s="47"/>
      <c r="K37" s="49" t="str">
        <f>IFERROR(VLOOKUP(J37,DATOS!$I$2:$J$63,2,FALSE),"SIN PARO")</f>
        <v>SIN PARO</v>
      </c>
      <c r="L37" s="8"/>
    </row>
    <row r="38" spans="1:12" ht="16.5" customHeight="1" x14ac:dyDescent="0.2">
      <c r="A38" s="50" t="s">
        <v>47</v>
      </c>
      <c r="B38" s="22" t="s">
        <v>47</v>
      </c>
      <c r="C38" s="20"/>
      <c r="D38" s="22" t="e">
        <f>VLOOKUP(C38,DATOS!$E$2:$F$161,2,FALSE)</f>
        <v>#N/A</v>
      </c>
      <c r="E38" s="20"/>
      <c r="F38" s="20"/>
      <c r="G38" s="20"/>
      <c r="H38" s="20"/>
      <c r="I38" s="45"/>
      <c r="J38" s="20"/>
      <c r="K38" s="30" t="str">
        <f>IFERROR(VLOOKUP(J38,DATOS!$I$2:$J$63,2,FALSE),"SIN PARO")</f>
        <v>SIN PARO</v>
      </c>
      <c r="L38" s="5"/>
    </row>
    <row r="39" spans="1:12" ht="16.5" customHeight="1" x14ac:dyDescent="0.2">
      <c r="A39" s="51" t="s">
        <v>47</v>
      </c>
      <c r="B39" s="23" t="s">
        <v>47</v>
      </c>
      <c r="C39" s="27"/>
      <c r="D39" s="23" t="e">
        <f>VLOOKUP(C39,DATOS!$E$2:$F$161,2,FALSE)</f>
        <v>#N/A</v>
      </c>
      <c r="E39" s="27"/>
      <c r="F39" s="27"/>
      <c r="G39" s="27"/>
      <c r="H39" s="27"/>
      <c r="I39" s="35"/>
      <c r="J39" s="27"/>
      <c r="K39" s="31" t="str">
        <f>IFERROR(VLOOKUP(J39,DATOS!$I$2:$J$63,2,FALSE),"SIN PARO")</f>
        <v>SIN PARO</v>
      </c>
      <c r="L39" s="7"/>
    </row>
    <row r="40" spans="1:12" ht="16.5" customHeight="1" x14ac:dyDescent="0.2">
      <c r="A40" s="51" t="s">
        <v>47</v>
      </c>
      <c r="B40" s="23" t="s">
        <v>47</v>
      </c>
      <c r="C40" s="27"/>
      <c r="D40" s="23" t="e">
        <f>VLOOKUP(C40,DATOS!$E$2:$F$161,2,FALSE)</f>
        <v>#N/A</v>
      </c>
      <c r="E40" s="27"/>
      <c r="F40" s="27"/>
      <c r="G40" s="27"/>
      <c r="H40" s="27"/>
      <c r="I40" s="35"/>
      <c r="J40" s="27"/>
      <c r="K40" s="31" t="str">
        <f>IFERROR(VLOOKUP(J40,DATOS!$I$2:$J$63,2,FALSE),"SIN PARO")</f>
        <v>SIN PARO</v>
      </c>
      <c r="L40" s="7"/>
    </row>
    <row r="41" spans="1:12" ht="16.5" customHeight="1" thickBot="1" x14ac:dyDescent="0.25">
      <c r="A41" s="52" t="s">
        <v>47</v>
      </c>
      <c r="B41" s="24" t="s">
        <v>47</v>
      </c>
      <c r="C41" s="43"/>
      <c r="D41" s="24" t="e">
        <f>VLOOKUP(C41,DATOS!$E$2:$F$161,2,FALSE)</f>
        <v>#N/A</v>
      </c>
      <c r="E41" s="43"/>
      <c r="F41" s="43"/>
      <c r="G41" s="43"/>
      <c r="H41" s="43"/>
      <c r="I41" s="44"/>
      <c r="J41" s="43"/>
      <c r="K41" s="32" t="str">
        <f>IFERROR(VLOOKUP(J41,DATOS!$I$2:$J$63,2,FALSE),"SIN PARO")</f>
        <v>SIN PARO</v>
      </c>
      <c r="L41" s="6"/>
    </row>
  </sheetData>
  <sheetProtection algorithmName="SHA-512" hashValue="m0r4NAIknyi0ll8mYbwoGZarZJ8h29YpNc/+XeJZuMsXh6EN7rs5e3oyjyAmopKa0ppEFz4HB9JP8XU1I+5Hig==" saltValue="yzYc6sxfU2XN2tyOi4z2TQ==" spinCount="100000" sheet="1" objects="1" scenarios="1"/>
  <mergeCells count="4">
    <mergeCell ref="A1:L1"/>
    <mergeCell ref="C6:D6"/>
    <mergeCell ref="J6:K6"/>
    <mergeCell ref="H6:I6"/>
  </mergeCell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DATOS!$G$2:$G$28</xm:f>
          </x14:formula1>
          <xm:sqref>E9:E41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4"/>
  <sheetViews>
    <sheetView workbookViewId="0">
      <selection activeCell="A2" sqref="A2:O34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0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2</v>
      </c>
      <c r="B1" t="s">
        <v>36</v>
      </c>
      <c r="C1" t="s">
        <v>37</v>
      </c>
      <c r="D1" t="s">
        <v>3</v>
      </c>
      <c r="E1" t="s">
        <v>4</v>
      </c>
      <c r="F1" t="s">
        <v>5</v>
      </c>
      <c r="G1" t="s">
        <v>516</v>
      </c>
      <c r="H1" t="s">
        <v>38</v>
      </c>
      <c r="I1" t="s">
        <v>6</v>
      </c>
      <c r="J1" t="s">
        <v>39</v>
      </c>
      <c r="K1" t="s">
        <v>8</v>
      </c>
      <c r="L1" t="s">
        <v>9</v>
      </c>
      <c r="M1" t="s">
        <v>41</v>
      </c>
      <c r="N1" t="s">
        <v>519</v>
      </c>
      <c r="O1" t="s">
        <v>40</v>
      </c>
      <c r="P1" t="s">
        <v>42</v>
      </c>
    </row>
    <row r="2" spans="1:16" x14ac:dyDescent="0.25">
      <c r="A2" s="3">
        <v>44377.630298148149</v>
      </c>
      <c r="B2" t="s">
        <v>27</v>
      </c>
      <c r="C2" t="s">
        <v>1</v>
      </c>
      <c r="D2" t="s">
        <v>33</v>
      </c>
      <c r="E2" t="s">
        <v>11</v>
      </c>
      <c r="F2" t="s">
        <v>12</v>
      </c>
      <c r="G2" t="s">
        <v>213</v>
      </c>
      <c r="H2" t="s">
        <v>53</v>
      </c>
      <c r="I2" t="s">
        <v>498</v>
      </c>
      <c r="J2">
        <v>300</v>
      </c>
      <c r="K2">
        <v>0</v>
      </c>
      <c r="L2">
        <v>0</v>
      </c>
      <c r="M2">
        <v>30</v>
      </c>
      <c r="N2" t="s">
        <v>435</v>
      </c>
      <c r="O2" t="s">
        <v>373</v>
      </c>
    </row>
    <row r="3" spans="1:16" x14ac:dyDescent="0.25">
      <c r="A3" s="3">
        <v>44377.630298148149</v>
      </c>
      <c r="B3" t="s">
        <v>27</v>
      </c>
      <c r="C3" t="s">
        <v>1</v>
      </c>
      <c r="D3" t="s">
        <v>33</v>
      </c>
      <c r="E3" t="s">
        <v>11</v>
      </c>
      <c r="F3" t="s">
        <v>12</v>
      </c>
      <c r="G3" t="s">
        <v>214</v>
      </c>
      <c r="H3" t="s">
        <v>54</v>
      </c>
      <c r="I3" t="s">
        <v>498</v>
      </c>
      <c r="J3">
        <v>300</v>
      </c>
      <c r="K3">
        <v>0</v>
      </c>
      <c r="L3">
        <v>0</v>
      </c>
      <c r="M3">
        <v>30</v>
      </c>
      <c r="N3" t="s">
        <v>435</v>
      </c>
      <c r="O3" t="s">
        <v>373</v>
      </c>
    </row>
    <row r="4" spans="1:16" x14ac:dyDescent="0.25">
      <c r="A4" s="3">
        <v>44377.630298148149</v>
      </c>
      <c r="B4" t="s">
        <v>27</v>
      </c>
      <c r="C4" t="s">
        <v>1</v>
      </c>
      <c r="D4" t="s">
        <v>33</v>
      </c>
      <c r="E4" t="s">
        <v>11</v>
      </c>
      <c r="F4" t="s">
        <v>13</v>
      </c>
      <c r="G4" t="s">
        <v>215</v>
      </c>
      <c r="H4" t="s">
        <v>55</v>
      </c>
      <c r="I4" t="s">
        <v>498</v>
      </c>
      <c r="J4">
        <v>300</v>
      </c>
      <c r="K4">
        <v>0</v>
      </c>
      <c r="L4">
        <v>0</v>
      </c>
      <c r="M4">
        <v>30</v>
      </c>
      <c r="N4" t="s">
        <v>435</v>
      </c>
      <c r="O4" t="s">
        <v>373</v>
      </c>
    </row>
    <row r="5" spans="1:16" x14ac:dyDescent="0.25">
      <c r="A5" s="3">
        <v>44377.630298148149</v>
      </c>
      <c r="B5" t="s">
        <v>27</v>
      </c>
      <c r="C5" t="s">
        <v>1</v>
      </c>
      <c r="D5" t="s">
        <v>33</v>
      </c>
      <c r="E5" t="s">
        <v>11</v>
      </c>
      <c r="F5" t="s">
        <v>13</v>
      </c>
      <c r="G5" t="s">
        <v>216</v>
      </c>
      <c r="H5" t="s">
        <v>56</v>
      </c>
      <c r="I5" t="s">
        <v>498</v>
      </c>
      <c r="J5">
        <v>300</v>
      </c>
      <c r="K5">
        <v>0</v>
      </c>
      <c r="L5">
        <v>0</v>
      </c>
      <c r="M5">
        <v>30</v>
      </c>
      <c r="N5" t="s">
        <v>435</v>
      </c>
      <c r="O5" t="s">
        <v>373</v>
      </c>
    </row>
    <row r="6" spans="1:16" x14ac:dyDescent="0.25">
      <c r="A6" s="3">
        <v>44377.630298148149</v>
      </c>
      <c r="B6" t="s">
        <v>27</v>
      </c>
      <c r="C6" t="s">
        <v>1</v>
      </c>
      <c r="D6" t="s">
        <v>33</v>
      </c>
      <c r="E6" t="s">
        <v>14</v>
      </c>
      <c r="F6" t="s">
        <v>15</v>
      </c>
      <c r="G6" t="s">
        <v>217</v>
      </c>
      <c r="H6" t="s">
        <v>57</v>
      </c>
      <c r="I6" t="s">
        <v>498</v>
      </c>
      <c r="J6">
        <v>300</v>
      </c>
      <c r="K6">
        <v>0</v>
      </c>
      <c r="L6">
        <v>0</v>
      </c>
      <c r="M6">
        <v>30</v>
      </c>
      <c r="N6" t="s">
        <v>435</v>
      </c>
      <c r="O6" t="s">
        <v>373</v>
      </c>
    </row>
    <row r="7" spans="1:16" x14ac:dyDescent="0.25">
      <c r="A7" s="3">
        <v>44377.630298148149</v>
      </c>
      <c r="B7" t="s">
        <v>27</v>
      </c>
      <c r="C7" t="s">
        <v>1</v>
      </c>
      <c r="D7" t="s">
        <v>33</v>
      </c>
      <c r="E7" t="s">
        <v>14</v>
      </c>
      <c r="F7" t="s">
        <v>15</v>
      </c>
      <c r="G7" t="s">
        <v>218</v>
      </c>
      <c r="H7" t="s">
        <v>58</v>
      </c>
      <c r="I7" t="s">
        <v>502</v>
      </c>
      <c r="J7">
        <v>300</v>
      </c>
      <c r="K7">
        <v>0</v>
      </c>
      <c r="L7">
        <v>0</v>
      </c>
      <c r="M7">
        <v>30</v>
      </c>
      <c r="N7" t="s">
        <v>435</v>
      </c>
      <c r="O7" t="s">
        <v>373</v>
      </c>
    </row>
    <row r="8" spans="1:16" x14ac:dyDescent="0.25">
      <c r="A8" s="3">
        <v>44377.630298148149</v>
      </c>
      <c r="B8" t="s">
        <v>27</v>
      </c>
      <c r="C8" t="s">
        <v>1</v>
      </c>
      <c r="D8" t="s">
        <v>33</v>
      </c>
      <c r="E8" t="s">
        <v>14</v>
      </c>
      <c r="F8" t="s">
        <v>16</v>
      </c>
      <c r="G8" t="s">
        <v>219</v>
      </c>
      <c r="H8" t="s">
        <v>59</v>
      </c>
      <c r="I8" t="s">
        <v>498</v>
      </c>
      <c r="J8">
        <v>300</v>
      </c>
      <c r="K8">
        <v>0</v>
      </c>
      <c r="L8">
        <v>0</v>
      </c>
      <c r="M8">
        <v>30</v>
      </c>
      <c r="N8" t="s">
        <v>435</v>
      </c>
      <c r="O8" t="s">
        <v>373</v>
      </c>
    </row>
    <row r="9" spans="1:16" x14ac:dyDescent="0.25">
      <c r="A9" s="3">
        <v>44377.630298148149</v>
      </c>
      <c r="B9" t="s">
        <v>27</v>
      </c>
      <c r="C9" t="s">
        <v>1</v>
      </c>
      <c r="D9" t="s">
        <v>33</v>
      </c>
      <c r="E9" t="s">
        <v>14</v>
      </c>
      <c r="F9" t="s">
        <v>17</v>
      </c>
      <c r="G9" t="s">
        <v>220</v>
      </c>
      <c r="H9" t="s">
        <v>60</v>
      </c>
      <c r="I9" t="s">
        <v>498</v>
      </c>
      <c r="J9">
        <v>300</v>
      </c>
      <c r="K9">
        <v>0</v>
      </c>
      <c r="L9">
        <v>0</v>
      </c>
      <c r="M9">
        <v>30</v>
      </c>
      <c r="N9" t="s">
        <v>435</v>
      </c>
      <c r="O9" t="s">
        <v>373</v>
      </c>
    </row>
    <row r="10" spans="1:16" x14ac:dyDescent="0.25">
      <c r="A10" s="3">
        <v>44377.630298148149</v>
      </c>
      <c r="B10" t="s">
        <v>27</v>
      </c>
      <c r="C10" t="s">
        <v>1</v>
      </c>
      <c r="D10" t="s">
        <v>33</v>
      </c>
      <c r="E10" t="s">
        <v>18</v>
      </c>
      <c r="F10" t="s">
        <v>19</v>
      </c>
      <c r="G10" t="s">
        <v>221</v>
      </c>
      <c r="H10" t="s">
        <v>61</v>
      </c>
      <c r="I10" t="s">
        <v>498</v>
      </c>
      <c r="J10">
        <v>300</v>
      </c>
      <c r="K10">
        <v>0</v>
      </c>
      <c r="L10">
        <v>0</v>
      </c>
      <c r="M10">
        <v>30</v>
      </c>
      <c r="N10" t="s">
        <v>435</v>
      </c>
      <c r="O10" t="s">
        <v>373</v>
      </c>
    </row>
    <row r="11" spans="1:16" x14ac:dyDescent="0.25">
      <c r="A11" s="3">
        <v>44377.630298148149</v>
      </c>
      <c r="B11" t="s">
        <v>27</v>
      </c>
      <c r="C11" t="s">
        <v>1</v>
      </c>
      <c r="D11" t="s">
        <v>33</v>
      </c>
      <c r="E11" t="s">
        <v>18</v>
      </c>
      <c r="F11" t="s">
        <v>19</v>
      </c>
      <c r="G11" t="s">
        <v>222</v>
      </c>
      <c r="H11" t="s">
        <v>62</v>
      </c>
      <c r="I11" t="s">
        <v>498</v>
      </c>
      <c r="J11">
        <v>300</v>
      </c>
      <c r="K11">
        <v>0</v>
      </c>
      <c r="L11">
        <v>0</v>
      </c>
      <c r="M11">
        <v>30</v>
      </c>
      <c r="N11" t="s">
        <v>435</v>
      </c>
      <c r="O11" t="s">
        <v>373</v>
      </c>
    </row>
    <row r="12" spans="1:16" x14ac:dyDescent="0.25">
      <c r="A12" s="3">
        <v>44377.630298148149</v>
      </c>
      <c r="B12" t="s">
        <v>27</v>
      </c>
      <c r="C12" t="s">
        <v>1</v>
      </c>
      <c r="D12" t="s">
        <v>33</v>
      </c>
      <c r="E12" t="s">
        <v>18</v>
      </c>
      <c r="F12" t="s">
        <v>20</v>
      </c>
      <c r="G12" t="s">
        <v>223</v>
      </c>
      <c r="H12" t="s">
        <v>63</v>
      </c>
      <c r="I12" t="s">
        <v>498</v>
      </c>
      <c r="J12">
        <v>300</v>
      </c>
      <c r="K12">
        <v>0</v>
      </c>
      <c r="L12">
        <v>0</v>
      </c>
      <c r="M12">
        <v>30</v>
      </c>
      <c r="N12" t="s">
        <v>435</v>
      </c>
      <c r="O12" t="s">
        <v>373</v>
      </c>
    </row>
    <row r="13" spans="1:16" x14ac:dyDescent="0.25">
      <c r="A13" s="3">
        <v>44377.630298148149</v>
      </c>
      <c r="B13" t="s">
        <v>27</v>
      </c>
      <c r="C13" t="s">
        <v>1</v>
      </c>
      <c r="D13" t="s">
        <v>33</v>
      </c>
      <c r="E13" t="s">
        <v>18</v>
      </c>
      <c r="F13" t="s">
        <v>20</v>
      </c>
      <c r="G13" t="s">
        <v>224</v>
      </c>
      <c r="H13" t="s">
        <v>64</v>
      </c>
      <c r="I13" t="s">
        <v>498</v>
      </c>
      <c r="J13">
        <v>300</v>
      </c>
      <c r="K13">
        <v>0</v>
      </c>
      <c r="L13">
        <v>0</v>
      </c>
      <c r="M13">
        <v>30</v>
      </c>
      <c r="N13" t="s">
        <v>435</v>
      </c>
      <c r="O13" t="s">
        <v>373</v>
      </c>
    </row>
    <row r="14" spans="1:16" x14ac:dyDescent="0.25">
      <c r="A14" s="3">
        <v>44377.630298148149</v>
      </c>
      <c r="B14" t="s">
        <v>27</v>
      </c>
      <c r="C14" t="s">
        <v>1</v>
      </c>
      <c r="D14" t="s">
        <v>33</v>
      </c>
      <c r="E14" t="s">
        <v>18</v>
      </c>
      <c r="F14" t="s">
        <v>21</v>
      </c>
      <c r="G14" t="s">
        <v>225</v>
      </c>
      <c r="H14" t="s">
        <v>65</v>
      </c>
      <c r="I14" t="s">
        <v>498</v>
      </c>
      <c r="J14">
        <v>300</v>
      </c>
      <c r="K14">
        <v>0</v>
      </c>
      <c r="L14">
        <v>0</v>
      </c>
      <c r="M14">
        <v>30</v>
      </c>
      <c r="N14" t="s">
        <v>435</v>
      </c>
      <c r="O14" t="s">
        <v>373</v>
      </c>
    </row>
    <row r="15" spans="1:16" x14ac:dyDescent="0.25">
      <c r="A15" s="3">
        <v>44377.630298148149</v>
      </c>
      <c r="B15" t="s">
        <v>27</v>
      </c>
      <c r="C15" t="s">
        <v>1</v>
      </c>
      <c r="D15" t="s">
        <v>33</v>
      </c>
      <c r="E15" t="s">
        <v>18</v>
      </c>
      <c r="F15" t="s">
        <v>21</v>
      </c>
      <c r="G15" t="s">
        <v>226</v>
      </c>
      <c r="H15" t="s">
        <v>66</v>
      </c>
      <c r="I15" t="s">
        <v>498</v>
      </c>
      <c r="J15">
        <v>300</v>
      </c>
      <c r="K15">
        <v>0</v>
      </c>
      <c r="L15">
        <v>0</v>
      </c>
      <c r="M15">
        <v>30</v>
      </c>
      <c r="N15" t="s">
        <v>435</v>
      </c>
      <c r="O15" t="s">
        <v>373</v>
      </c>
    </row>
    <row r="16" spans="1:16" x14ac:dyDescent="0.25">
      <c r="A16" s="3">
        <v>44377.630298148149</v>
      </c>
      <c r="B16" t="s">
        <v>27</v>
      </c>
      <c r="C16" t="s">
        <v>1</v>
      </c>
      <c r="D16" t="s">
        <v>33</v>
      </c>
      <c r="E16" t="s">
        <v>18</v>
      </c>
      <c r="F16" t="s">
        <v>22</v>
      </c>
      <c r="G16" t="s">
        <v>227</v>
      </c>
      <c r="H16" t="s">
        <v>67</v>
      </c>
      <c r="I16" t="s">
        <v>498</v>
      </c>
      <c r="J16">
        <v>300</v>
      </c>
      <c r="K16">
        <v>0</v>
      </c>
      <c r="L16">
        <v>0</v>
      </c>
      <c r="M16">
        <v>30</v>
      </c>
      <c r="N16" t="s">
        <v>435</v>
      </c>
      <c r="O16" t="s">
        <v>373</v>
      </c>
    </row>
    <row r="17" spans="1:15" x14ac:dyDescent="0.25">
      <c r="A17" s="3">
        <v>44377.630298148149</v>
      </c>
      <c r="B17" t="s">
        <v>27</v>
      </c>
      <c r="C17" t="s">
        <v>1</v>
      </c>
      <c r="D17" t="s">
        <v>33</v>
      </c>
      <c r="E17" t="s">
        <v>18</v>
      </c>
      <c r="F17" t="s">
        <v>22</v>
      </c>
      <c r="G17" t="s">
        <v>228</v>
      </c>
      <c r="H17" t="s">
        <v>68</v>
      </c>
      <c r="I17" t="s">
        <v>498</v>
      </c>
      <c r="J17">
        <v>300</v>
      </c>
      <c r="K17">
        <v>0</v>
      </c>
      <c r="L17">
        <v>0</v>
      </c>
      <c r="M17">
        <v>30</v>
      </c>
      <c r="N17" t="s">
        <v>435</v>
      </c>
      <c r="O17" t="s">
        <v>373</v>
      </c>
    </row>
    <row r="18" spans="1:15" x14ac:dyDescent="0.25">
      <c r="A18" s="3">
        <v>44377.630298148149</v>
      </c>
      <c r="B18" t="s">
        <v>27</v>
      </c>
      <c r="C18" t="s">
        <v>1</v>
      </c>
      <c r="D18" t="s">
        <v>33</v>
      </c>
      <c r="E18" t="s">
        <v>18</v>
      </c>
      <c r="F18" t="s">
        <v>23</v>
      </c>
      <c r="G18" t="s">
        <v>229</v>
      </c>
      <c r="H18" t="s">
        <v>69</v>
      </c>
      <c r="I18" t="s">
        <v>498</v>
      </c>
      <c r="J18">
        <v>300</v>
      </c>
      <c r="K18">
        <v>0</v>
      </c>
      <c r="L18">
        <v>0</v>
      </c>
      <c r="M18">
        <v>30</v>
      </c>
      <c r="N18" t="s">
        <v>435</v>
      </c>
      <c r="O18" t="s">
        <v>373</v>
      </c>
    </row>
    <row r="19" spans="1:15" x14ac:dyDescent="0.25">
      <c r="A19" s="3">
        <v>44377.630298148149</v>
      </c>
      <c r="B19" t="s">
        <v>27</v>
      </c>
      <c r="C19" t="s">
        <v>1</v>
      </c>
      <c r="D19" t="s">
        <v>33</v>
      </c>
      <c r="E19" t="s">
        <v>18</v>
      </c>
      <c r="F19" t="s">
        <v>23</v>
      </c>
      <c r="G19" t="s">
        <v>230</v>
      </c>
      <c r="H19" t="s">
        <v>70</v>
      </c>
      <c r="I19" t="s">
        <v>498</v>
      </c>
      <c r="J19">
        <v>300</v>
      </c>
      <c r="K19">
        <v>0</v>
      </c>
      <c r="L19">
        <v>0</v>
      </c>
      <c r="M19">
        <v>30</v>
      </c>
      <c r="N19" t="s">
        <v>435</v>
      </c>
      <c r="O19" t="s">
        <v>373</v>
      </c>
    </row>
    <row r="20" spans="1:15" x14ac:dyDescent="0.25">
      <c r="A20" s="3">
        <v>44377.630298148149</v>
      </c>
      <c r="B20" t="s">
        <v>27</v>
      </c>
      <c r="C20" t="s">
        <v>1</v>
      </c>
      <c r="D20" t="s">
        <v>33</v>
      </c>
      <c r="E20" t="s">
        <v>18</v>
      </c>
      <c r="F20" t="s">
        <v>24</v>
      </c>
      <c r="G20" t="s">
        <v>231</v>
      </c>
      <c r="H20" t="s">
        <v>71</v>
      </c>
      <c r="I20" t="s">
        <v>498</v>
      </c>
      <c r="J20">
        <v>300</v>
      </c>
      <c r="K20">
        <v>0</v>
      </c>
      <c r="L20">
        <v>0</v>
      </c>
      <c r="M20">
        <v>30</v>
      </c>
      <c r="N20" t="s">
        <v>435</v>
      </c>
      <c r="O20" t="s">
        <v>373</v>
      </c>
    </row>
    <row r="21" spans="1:15" x14ac:dyDescent="0.25">
      <c r="A21" s="3">
        <v>44377.630298148149</v>
      </c>
      <c r="B21" t="s">
        <v>27</v>
      </c>
      <c r="C21" t="s">
        <v>1</v>
      </c>
      <c r="D21" t="s">
        <v>33</v>
      </c>
      <c r="E21" t="s">
        <v>18</v>
      </c>
      <c r="F21" t="s">
        <v>24</v>
      </c>
      <c r="G21" t="s">
        <v>232</v>
      </c>
      <c r="H21" t="s">
        <v>72</v>
      </c>
      <c r="I21" t="s">
        <v>498</v>
      </c>
      <c r="J21">
        <v>300</v>
      </c>
      <c r="K21">
        <v>0</v>
      </c>
      <c r="L21">
        <v>0</v>
      </c>
      <c r="M21">
        <v>30</v>
      </c>
      <c r="N21" t="s">
        <v>435</v>
      </c>
      <c r="O21" t="s">
        <v>373</v>
      </c>
    </row>
    <row r="22" spans="1:15" x14ac:dyDescent="0.25">
      <c r="A22" s="3">
        <v>44377.630298148149</v>
      </c>
      <c r="B22" t="s">
        <v>27</v>
      </c>
      <c r="C22" t="s">
        <v>1</v>
      </c>
      <c r="D22" t="s">
        <v>33</v>
      </c>
      <c r="E22" t="s">
        <v>18</v>
      </c>
      <c r="F22" t="s">
        <v>520</v>
      </c>
      <c r="G22" t="s">
        <v>233</v>
      </c>
      <c r="H22" t="s">
        <v>73</v>
      </c>
      <c r="I22" t="s">
        <v>498</v>
      </c>
      <c r="J22">
        <v>300</v>
      </c>
      <c r="K22">
        <v>0</v>
      </c>
      <c r="L22">
        <v>0</v>
      </c>
      <c r="M22">
        <v>30</v>
      </c>
      <c r="N22" t="s">
        <v>435</v>
      </c>
      <c r="O22" t="s">
        <v>373</v>
      </c>
    </row>
    <row r="23" spans="1:15" x14ac:dyDescent="0.25">
      <c r="A23" s="3">
        <v>44377.630298148149</v>
      </c>
      <c r="B23" t="s">
        <v>27</v>
      </c>
      <c r="C23" t="s">
        <v>1</v>
      </c>
      <c r="D23" t="s">
        <v>33</v>
      </c>
      <c r="E23" t="s">
        <v>43</v>
      </c>
      <c r="F23" t="s">
        <v>43</v>
      </c>
      <c r="G23" t="s">
        <v>234</v>
      </c>
      <c r="H23" t="s">
        <v>74</v>
      </c>
      <c r="I23" t="s">
        <v>498</v>
      </c>
      <c r="J23">
        <v>300</v>
      </c>
      <c r="K23">
        <v>0</v>
      </c>
      <c r="L23">
        <v>0</v>
      </c>
      <c r="M23">
        <v>30</v>
      </c>
      <c r="N23" t="s">
        <v>435</v>
      </c>
      <c r="O23" t="s">
        <v>373</v>
      </c>
    </row>
    <row r="24" spans="1:15" x14ac:dyDescent="0.25">
      <c r="A24" s="3">
        <v>44377.630298148149</v>
      </c>
      <c r="B24" t="s">
        <v>27</v>
      </c>
      <c r="C24" t="s">
        <v>1</v>
      </c>
      <c r="D24" t="s">
        <v>33</v>
      </c>
      <c r="E24" t="s">
        <v>43</v>
      </c>
      <c r="F24" t="s">
        <v>43</v>
      </c>
      <c r="G24" t="s">
        <v>235</v>
      </c>
      <c r="H24" t="s">
        <v>75</v>
      </c>
      <c r="I24" t="s">
        <v>498</v>
      </c>
      <c r="J24">
        <v>300</v>
      </c>
      <c r="K24">
        <v>0</v>
      </c>
      <c r="L24">
        <v>0</v>
      </c>
      <c r="M24">
        <v>30</v>
      </c>
      <c r="N24" t="s">
        <v>435</v>
      </c>
      <c r="O24" t="s">
        <v>373</v>
      </c>
    </row>
    <row r="25" spans="1:15" x14ac:dyDescent="0.25">
      <c r="A25" s="3">
        <v>44377.630298148149</v>
      </c>
      <c r="B25" t="s">
        <v>27</v>
      </c>
      <c r="C25" t="s">
        <v>1</v>
      </c>
      <c r="D25" t="s">
        <v>33</v>
      </c>
      <c r="E25" t="s">
        <v>43</v>
      </c>
      <c r="F25" t="s">
        <v>43</v>
      </c>
      <c r="G25" t="s">
        <v>236</v>
      </c>
      <c r="H25" t="s">
        <v>76</v>
      </c>
      <c r="I25" t="s">
        <v>498</v>
      </c>
      <c r="J25">
        <v>300</v>
      </c>
      <c r="K25">
        <v>0</v>
      </c>
      <c r="L25">
        <v>0</v>
      </c>
      <c r="M25">
        <v>30</v>
      </c>
      <c r="N25" t="s">
        <v>435</v>
      </c>
      <c r="O25" t="s">
        <v>373</v>
      </c>
    </row>
    <row r="26" spans="1:15" x14ac:dyDescent="0.25">
      <c r="A26" s="3">
        <v>44377.630298148149</v>
      </c>
      <c r="B26" t="s">
        <v>27</v>
      </c>
      <c r="C26" t="s">
        <v>1</v>
      </c>
      <c r="D26" t="s">
        <v>33</v>
      </c>
      <c r="E26" t="s">
        <v>43</v>
      </c>
      <c r="F26" t="s">
        <v>43</v>
      </c>
      <c r="G26" t="s">
        <v>237</v>
      </c>
      <c r="H26" t="s">
        <v>77</v>
      </c>
      <c r="I26" t="s">
        <v>498</v>
      </c>
      <c r="J26">
        <v>300</v>
      </c>
      <c r="K26">
        <v>0</v>
      </c>
      <c r="L26">
        <v>0</v>
      </c>
      <c r="M26">
        <v>30</v>
      </c>
      <c r="N26" t="s">
        <v>435</v>
      </c>
      <c r="O26" t="s">
        <v>373</v>
      </c>
    </row>
    <row r="27" spans="1:15" x14ac:dyDescent="0.25">
      <c r="A27" s="3">
        <v>44377.630298148149</v>
      </c>
      <c r="B27" t="s">
        <v>27</v>
      </c>
      <c r="C27" t="s">
        <v>1</v>
      </c>
      <c r="D27" t="s">
        <v>33</v>
      </c>
      <c r="E27" t="s">
        <v>44</v>
      </c>
      <c r="F27" t="s">
        <v>44</v>
      </c>
      <c r="G27" t="s">
        <v>238</v>
      </c>
      <c r="H27" t="s">
        <v>78</v>
      </c>
      <c r="I27" t="s">
        <v>498</v>
      </c>
      <c r="J27">
        <v>300</v>
      </c>
      <c r="K27">
        <v>0</v>
      </c>
      <c r="L27">
        <v>0</v>
      </c>
      <c r="M27">
        <v>30</v>
      </c>
      <c r="N27" t="s">
        <v>435</v>
      </c>
      <c r="O27" t="s">
        <v>373</v>
      </c>
    </row>
    <row r="28" spans="1:15" x14ac:dyDescent="0.25">
      <c r="A28" s="3">
        <v>44377.630298148149</v>
      </c>
      <c r="B28" t="s">
        <v>27</v>
      </c>
      <c r="C28" t="s">
        <v>1</v>
      </c>
      <c r="D28" t="s">
        <v>33</v>
      </c>
      <c r="E28" t="s">
        <v>48</v>
      </c>
      <c r="F28" t="s">
        <v>48</v>
      </c>
      <c r="G28" t="s">
        <v>239</v>
      </c>
      <c r="H28" t="s">
        <v>79</v>
      </c>
      <c r="I28" t="s">
        <v>498</v>
      </c>
      <c r="J28">
        <v>300</v>
      </c>
      <c r="K28">
        <v>0</v>
      </c>
      <c r="L28">
        <v>0</v>
      </c>
      <c r="M28">
        <v>30</v>
      </c>
      <c r="N28" t="s">
        <v>435</v>
      </c>
      <c r="O28" t="s">
        <v>373</v>
      </c>
    </row>
    <row r="29" spans="1:15" x14ac:dyDescent="0.25">
      <c r="A29" s="3">
        <v>44377.630298148149</v>
      </c>
      <c r="B29" t="s">
        <v>27</v>
      </c>
      <c r="C29" t="s">
        <v>1</v>
      </c>
      <c r="D29" t="s">
        <v>33</v>
      </c>
      <c r="E29" t="s">
        <v>45</v>
      </c>
      <c r="F29" t="s">
        <v>45</v>
      </c>
      <c r="G29" t="s">
        <v>240</v>
      </c>
      <c r="H29" t="s">
        <v>80</v>
      </c>
      <c r="I29" t="s">
        <v>498</v>
      </c>
      <c r="J29">
        <v>300</v>
      </c>
      <c r="K29">
        <v>0</v>
      </c>
      <c r="L29">
        <v>0</v>
      </c>
      <c r="M29">
        <v>30</v>
      </c>
      <c r="N29" t="s">
        <v>435</v>
      </c>
      <c r="O29" t="s">
        <v>373</v>
      </c>
    </row>
    <row r="30" spans="1:15" x14ac:dyDescent="0.25">
      <c r="A30" s="3">
        <v>44377.630298148149</v>
      </c>
      <c r="B30" t="s">
        <v>27</v>
      </c>
      <c r="C30" t="s">
        <v>1</v>
      </c>
      <c r="D30" t="s">
        <v>33</v>
      </c>
      <c r="E30" t="s">
        <v>46</v>
      </c>
      <c r="F30" t="s">
        <v>46</v>
      </c>
      <c r="G30" t="s">
        <v>241</v>
      </c>
      <c r="H30" t="s">
        <v>81</v>
      </c>
      <c r="I30" t="s">
        <v>498</v>
      </c>
      <c r="J30">
        <v>300</v>
      </c>
      <c r="K30">
        <v>0</v>
      </c>
      <c r="L30">
        <v>0</v>
      </c>
      <c r="M30">
        <v>30</v>
      </c>
      <c r="N30" t="s">
        <v>435</v>
      </c>
      <c r="O30" t="s">
        <v>373</v>
      </c>
    </row>
    <row r="31" spans="1:15" x14ac:dyDescent="0.25">
      <c r="A31" s="3">
        <v>44377.630298148149</v>
      </c>
      <c r="B31" t="s">
        <v>27</v>
      </c>
      <c r="C31" t="s">
        <v>1</v>
      </c>
      <c r="D31" t="s">
        <v>33</v>
      </c>
      <c r="E31" t="s">
        <v>47</v>
      </c>
      <c r="F31" t="s">
        <v>47</v>
      </c>
      <c r="G31" t="s">
        <v>242</v>
      </c>
      <c r="H31" t="s">
        <v>82</v>
      </c>
      <c r="I31" t="s">
        <v>498</v>
      </c>
      <c r="J31">
        <v>300</v>
      </c>
      <c r="K31">
        <v>0</v>
      </c>
      <c r="L31">
        <v>0</v>
      </c>
      <c r="M31">
        <v>30</v>
      </c>
      <c r="N31" t="s">
        <v>435</v>
      </c>
      <c r="O31" t="s">
        <v>373</v>
      </c>
    </row>
    <row r="32" spans="1:15" x14ac:dyDescent="0.25">
      <c r="A32" s="3">
        <v>44377.630298148149</v>
      </c>
      <c r="B32" t="s">
        <v>27</v>
      </c>
      <c r="C32" t="s">
        <v>1</v>
      </c>
      <c r="D32" t="s">
        <v>33</v>
      </c>
      <c r="E32" t="s">
        <v>47</v>
      </c>
      <c r="F32" t="s">
        <v>47</v>
      </c>
      <c r="G32" t="s">
        <v>243</v>
      </c>
      <c r="H32" t="s">
        <v>83</v>
      </c>
      <c r="I32" t="s">
        <v>498</v>
      </c>
      <c r="J32">
        <v>300</v>
      </c>
      <c r="K32">
        <v>0</v>
      </c>
      <c r="L32">
        <v>0</v>
      </c>
      <c r="M32">
        <v>30</v>
      </c>
      <c r="N32" t="s">
        <v>435</v>
      </c>
      <c r="O32" t="s">
        <v>373</v>
      </c>
    </row>
    <row r="33" spans="1:15" x14ac:dyDescent="0.25">
      <c r="A33" s="3">
        <v>44377.630298148149</v>
      </c>
      <c r="B33" t="s">
        <v>27</v>
      </c>
      <c r="C33" t="s">
        <v>1</v>
      </c>
      <c r="D33" t="s">
        <v>33</v>
      </c>
      <c r="E33" t="s">
        <v>47</v>
      </c>
      <c r="F33" t="s">
        <v>47</v>
      </c>
      <c r="G33" t="s">
        <v>244</v>
      </c>
      <c r="H33" t="s">
        <v>84</v>
      </c>
      <c r="I33" t="s">
        <v>498</v>
      </c>
      <c r="J33">
        <v>300</v>
      </c>
      <c r="K33">
        <v>0</v>
      </c>
      <c r="L33">
        <v>0</v>
      </c>
      <c r="M33">
        <v>30</v>
      </c>
      <c r="N33" t="s">
        <v>435</v>
      </c>
      <c r="O33" t="s">
        <v>373</v>
      </c>
    </row>
    <row r="34" spans="1:15" x14ac:dyDescent="0.25">
      <c r="A34" s="3">
        <v>44377.630298148149</v>
      </c>
      <c r="B34" t="s">
        <v>27</v>
      </c>
      <c r="C34" t="s">
        <v>1</v>
      </c>
      <c r="D34" t="s">
        <v>33</v>
      </c>
      <c r="E34" t="s">
        <v>47</v>
      </c>
      <c r="F34" t="s">
        <v>47</v>
      </c>
      <c r="G34" t="s">
        <v>245</v>
      </c>
      <c r="H34" t="s">
        <v>85</v>
      </c>
      <c r="I34" t="s">
        <v>498</v>
      </c>
      <c r="J34">
        <v>300</v>
      </c>
      <c r="K34">
        <v>0</v>
      </c>
      <c r="L34">
        <v>0</v>
      </c>
      <c r="M34">
        <v>30</v>
      </c>
      <c r="N34" t="s">
        <v>435</v>
      </c>
      <c r="O34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David</dc:creator>
  <cp:lastModifiedBy>David Gonzalez</cp:lastModifiedBy>
  <dcterms:created xsi:type="dcterms:W3CDTF">2021-05-26T15:49:29Z</dcterms:created>
  <dcterms:modified xsi:type="dcterms:W3CDTF">2021-07-01T13:55:39Z</dcterms:modified>
</cp:coreProperties>
</file>