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0.40.56.141\produccion\"/>
    </mc:Choice>
  </mc:AlternateContent>
  <bookViews>
    <workbookView xWindow="0" yWindow="0" windowWidth="21600" windowHeight="9645" activeTab="1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8" i="3" l="1"/>
  <c r="D38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9" i="3"/>
  <c r="K10" i="3" l="1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9" i="3"/>
  <c r="B6" i="3" l="1"/>
</calcChain>
</file>

<file path=xl/sharedStrings.xml><?xml version="1.0" encoding="utf-8"?>
<sst xmlns="http://schemas.openxmlformats.org/spreadsheetml/2006/main" count="752" uniqueCount="327">
  <si>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</si>
  <si>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</si>
  <si>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</si>
  <si>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</si>
  <si>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</si>
  <si>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</si>
  <si>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</si>
  <si>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</si>
  <si>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</si>
  <si>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</si>
  <si>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</si>
  <si>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</si>
  <si>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</si>
  <si>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</si>
  <si>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</si>
  <si>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</si>
  <si>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</si>
  <si>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</si>
  <si>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</si>
  <si>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</si>
  <si>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</si>
  <si>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</si>
  <si>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</si>
  <si>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</si>
  <si>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</si>
  <si>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</si>
  <si>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</si>
  <si>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</si>
  <si>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</si>
  <si>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</si>
  <si>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</si>
  <si>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</si>
  <si>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</si>
  <si>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</si>
  <si>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</si>
  <si>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</si>
  <si>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</si>
  <si>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</si>
  <si>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</si>
  <si>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</si>
  <si>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</si>
  <si>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PRESURIZADO</t>
  </si>
  <si>
    <t>SKIN</t>
  </si>
  <si>
    <t>PINTURA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</si>
  <si>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</si>
  <si>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</si>
  <si>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</si>
  <si>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</si>
  <si>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</si>
  <si>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</si>
  <si>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</si>
  <si>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</si>
  <si>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</si>
  <si>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</si>
  <si>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</si>
  <si>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</si>
  <si>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</si>
  <si>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</si>
  <si>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</si>
  <si>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</si>
  <si>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</si>
  <si>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</si>
  <si>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</si>
  <si>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</si>
  <si>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</si>
  <si>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</si>
  <si>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</si>
  <si>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</si>
  <si>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</si>
  <si>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</si>
  <si>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</si>
  <si>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</si>
  <si>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</si>
  <si>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</si>
  <si>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</si>
  <si>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</si>
  <si>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</si>
  <si>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</si>
  <si>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</si>
  <si>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</si>
  <si>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</si>
  <si>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</si>
  <si>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</si>
  <si>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</si>
  <si>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</si>
  <si>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</si>
  <si>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</si>
  <si>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</si>
  <si>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</si>
  <si>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</si>
  <si>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</si>
  <si>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</si>
  <si>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</si>
  <si>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</si>
  <si>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</si>
  <si>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</si>
  <si>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</si>
  <si>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</si>
  <si>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</si>
  <si>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</si>
  <si>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</si>
  <si>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</si>
  <si>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</si>
  <si>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</si>
  <si>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</si>
  <si>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</si>
  <si>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</si>
  <si>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</si>
  <si>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</si>
  <si>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</si>
  <si>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</si>
  <si>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</si>
  <si>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</si>
  <si>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</si>
  <si>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</si>
  <si>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</si>
  <si>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</si>
  <si>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</si>
  <si>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</si>
  <si>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</si>
  <si>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</si>
  <si>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</si>
  <si>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</si>
  <si>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</si>
  <si>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</si>
  <si>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</si>
  <si>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</si>
  <si>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</si>
  <si>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</si>
  <si>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</si>
  <si>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</si>
  <si>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</si>
  <si>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</si>
  <si>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</si>
  <si>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</si>
  <si>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</si>
  <si>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</si>
  <si>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</si>
  <si>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</si>
  <si>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</si>
  <si>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</si>
  <si>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</si>
  <si>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</si>
  <si>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</si>
  <si>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</si>
  <si>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</si>
  <si>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</si>
  <si>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</si>
  <si>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</si>
  <si>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</si>
  <si>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</si>
  <si>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</si>
  <si>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</si>
  <si>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</si>
  <si>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</si>
  <si>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</si>
  <si>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</si>
  <si>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</si>
  <si>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</si>
  <si>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</si>
  <si>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</si>
  <si>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</si>
  <si>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</si>
  <si>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</si>
  <si>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</si>
  <si>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</si>
  <si>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</si>
  <si>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</si>
  <si>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</si>
  <si>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</si>
  <si>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</si>
  <si>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</si>
  <si>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</si>
  <si>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</si>
  <si>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</si>
  <si>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</si>
  <si>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</si>
  <si>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</si>
  <si>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</si>
  <si>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</si>
  <si>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</si>
  <si>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</si>
  <si>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</si>
  <si>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</si>
  <si>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</si>
  <si>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</si>
  <si>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</si>
  <si>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</si>
  <si>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</si>
  <si>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</si>
  <si>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</si>
  <si>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</si>
  <si>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</si>
  <si>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</si>
  <si>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</si>
  <si>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</si>
  <si>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</si>
  <si>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</si>
  <si>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</si>
  <si>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</si>
  <si>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</si>
  <si>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</si>
  <si>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</si>
  <si>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</si>
  <si>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</si>
  <si>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</si>
  <si>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</si>
  <si>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</si>
  <si>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FALLA LISTON</t>
  </si>
  <si>
    <t>AJUSTE DE PORTAELECTRODOS</t>
  </si>
  <si>
    <t>AJUSTE GENERAL</t>
  </si>
  <si>
    <t>AJUSTE GUIAS</t>
  </si>
  <si>
    <t>AJUSTE PG</t>
  </si>
  <si>
    <t>AJUSTE UÑAS</t>
  </si>
  <si>
    <t>ALAMBRE DISPAREJO</t>
  </si>
  <si>
    <t>ALAMBRE SUELTO</t>
  </si>
  <si>
    <t>AUSENTISMO</t>
  </si>
  <si>
    <t>BAJA PRESION DE NITROGENO</t>
  </si>
  <si>
    <t xml:space="preserve">CAMBIO DE CAUCHO </t>
  </si>
  <si>
    <t>CAMBIO DE CILINDRO</t>
  </si>
  <si>
    <t>CAMBIO DE DESENGRASES</t>
  </si>
  <si>
    <t>CAMBIO DE ELECTRODOS</t>
  </si>
  <si>
    <t xml:space="preserve">CAMBIO DE REFERENCIA  </t>
  </si>
  <si>
    <t>CAMBIO DE RODAMIENTO</t>
  </si>
  <si>
    <t>CAMBIO DE TORNILLOS</t>
  </si>
  <si>
    <t>CITA MEDICA</t>
  </si>
  <si>
    <t>DESENGRASES FRIOS</t>
  </si>
  <si>
    <t>ESCOGER ALAMBRE</t>
  </si>
  <si>
    <t>FALLA BASE DEL CILINDRO LANZADOR</t>
  </si>
  <si>
    <t>FALLA CAIDA DE ALAMBRE</t>
  </si>
  <si>
    <t>FALLA EN MAGNETOS</t>
  </si>
  <si>
    <t>FALLA EN TANQUE DE PINTURA (ESPUMA)</t>
  </si>
  <si>
    <t>FALLA EN VALVULAS</t>
  </si>
  <si>
    <t>FALLA MOTOR</t>
  </si>
  <si>
    <t>FALLA PRENSA FIJA</t>
  </si>
  <si>
    <t>FALLA PRENSA MOVIL</t>
  </si>
  <si>
    <t>FALLA RASTRILLOS</t>
  </si>
  <si>
    <t>FALLA SENSOR</t>
  </si>
  <si>
    <t>FALLOS EN LA TEMPERATURA DE LA PINTURA</t>
  </si>
  <si>
    <t>FALLOS EN LA TEMPERATURA DEL HORNO</t>
  </si>
  <si>
    <t>FUGA DE AGUA</t>
  </si>
  <si>
    <t>FUGA DE RACORES</t>
  </si>
  <si>
    <t>FUGA EN LA VALVULA</t>
  </si>
  <si>
    <t>GIRAR REMATES</t>
  </si>
  <si>
    <t>INVENTARIO</t>
  </si>
  <si>
    <t>LAVAR TINAS</t>
  </si>
  <si>
    <t xml:space="preserve">MANTENIMIENTO  BOBINA </t>
  </si>
  <si>
    <t>MANTENIMIENTO DE SISTEMA DE CORTE</t>
  </si>
  <si>
    <t xml:space="preserve">MANTENIMIENTO DE TOPE  </t>
  </si>
  <si>
    <t>MANTENIMIENTO QUEMADORES</t>
  </si>
  <si>
    <t>MUESTRAS</t>
  </si>
  <si>
    <t>RECUPERAR SERPENTIN</t>
  </si>
  <si>
    <t>RECUPERAR TUBO</t>
  </si>
  <si>
    <t>LLEGADA TARDE</t>
  </si>
  <si>
    <t>SE PARTIO TORNILLO DE P6</t>
  </si>
  <si>
    <t>SE ROMPE TORNILLOP DE PG</t>
  </si>
  <si>
    <t>SERPENTIN ENREDADO</t>
  </si>
  <si>
    <t>SIN ALAMBRE</t>
  </si>
  <si>
    <t>SIN ENERGIA</t>
  </si>
  <si>
    <t>SIN MATERIAL PARA PROBAR</t>
  </si>
  <si>
    <t>SIN MATERIAL PROBADO</t>
  </si>
  <si>
    <t>SIN NITROGENO</t>
  </si>
  <si>
    <t>SIN PRESION DE AIRE</t>
  </si>
  <si>
    <t xml:space="preserve">SIN SERPENTIN </t>
  </si>
  <si>
    <t>SIN TUBERIA</t>
  </si>
  <si>
    <t>TUBERIA CORTA</t>
  </si>
  <si>
    <t>TUBERIA LARGA</t>
  </si>
  <si>
    <t>TUBO RAYADO</t>
  </si>
  <si>
    <t>OTROS</t>
  </si>
  <si>
    <t>FALLA ELECTRICA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</si>
  <si>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</si>
  <si>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</si>
  <si>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</si>
  <si>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</si>
  <si>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</si>
  <si>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</si>
  <si>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</si>
  <si>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</si>
  <si>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</si>
  <si>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</si>
  <si>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</si>
  <si>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</si>
  <si>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</si>
  <si>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</si>
  <si>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</si>
  <si>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</si>
  <si>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</si>
  <si>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</si>
  <si>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</si>
  <si>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</si>
  <si>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</si>
  <si>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</si>
  <si>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</si>
  <si>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</si>
  <si>
    <t>DOB. SERPENTIN</t>
  </si>
  <si>
    <t>DOB. OREJAS</t>
  </si>
  <si>
    <t>DOB. OREJAS 1</t>
  </si>
  <si>
    <t>DOB. OREJAS 2</t>
  </si>
  <si>
    <t>Carlos Morales</t>
  </si>
  <si>
    <t>cod_op</t>
  </si>
  <si>
    <t>nombre_op</t>
  </si>
  <si>
    <t>PINTOR</t>
  </si>
  <si>
    <t>MANTENIMIENTO</t>
  </si>
  <si>
    <t>SETUP</t>
  </si>
  <si>
    <t>01</t>
  </si>
  <si>
    <t>02</t>
  </si>
  <si>
    <t>03</t>
  </si>
  <si>
    <t>04</t>
  </si>
  <si>
    <t>SIN PARO</t>
  </si>
  <si>
    <t>Sin Datos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</si>
  <si>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</si>
  <si>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</si>
  <si>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</si>
  <si>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</si>
  <si>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</si>
  <si>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</si>
  <si>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</si>
  <si>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</si>
  <si>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</si>
  <si>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</si>
  <si>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</si>
  <si>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</si>
  <si>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</si>
  <si>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</si>
  <si>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</si>
  <si>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se limpio tuberia oxidada</t>
  </si>
  <si>
    <t>se trae alambre a los operarios serpentin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</si>
</sst>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:mm:ss\ AM/PM"/>
    <numFmt numFmtId="165" formatCode="####\ &quot;min&quot;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medium">
        <color indexed="64"/>
      </bottom>
      <diagonal/>
    </border>
    <border>
      <left style="dashDotDot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dashDotDot">
        <color theme="0" tint="-0.24994659260841701"/>
      </left>
      <right style="medium">
        <color indexed="64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dashDot">
        <color theme="0" tint="-0.14999847407452621"/>
      </bottom>
      <diagonal/>
    </border>
    <border>
      <left style="dashDot">
        <color theme="0" tint="-0.14999847407452621"/>
      </left>
      <right style="dashDot">
        <color theme="0" tint="-0.1499984740745262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ashDot">
        <color theme="0" tint="-0.14999847407452621"/>
      </left>
      <right style="dashDot">
        <color theme="0" tint="-0.14999847407452621"/>
      </right>
      <top style="dashDot">
        <color theme="0" tint="-0.14999847407452621"/>
      </top>
      <bottom style="medium">
        <color indexed="64"/>
      </bottom>
      <diagonal/>
    </border>
    <border>
      <left style="dashDot">
        <color theme="0" tint="-0.14999847407452621"/>
      </left>
      <right style="dashDot">
        <color theme="0" tint="-0.14999847407452621"/>
      </right>
      <top style="medium">
        <color indexed="64"/>
      </top>
      <bottom style="dashDot">
        <color theme="0" tint="-0.14999847407452621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">
        <color theme="0" tint="-0.14999847407452621"/>
      </left>
      <right style="dashDot">
        <color theme="0" tint="-0.1499984740745262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dashDotDot">
        <color theme="0" tint="-0.24994659260841701"/>
      </right>
      <top/>
      <bottom/>
      <diagonal/>
    </border>
    <border>
      <left style="dashDot">
        <color theme="0" tint="-0.14999847407452621"/>
      </left>
      <right style="dashDot">
        <color theme="0" tint="-0.14999847407452621"/>
      </right>
      <top style="dashDot">
        <color theme="0" tint="-0.14999847407452621"/>
      </top>
      <bottom/>
      <diagonal/>
    </border>
    <border>
      <left style="dashDotDot">
        <color theme="0" tint="-0.24994659260841701"/>
      </left>
      <right style="medium">
        <color indexed="64"/>
      </right>
      <top/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85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164" fontId="0" fillId="0" borderId="0" xfId="0" applyNumberFormat="1"/>
    <xf numFmtId="0" fontId="7" fillId="3" borderId="5" xfId="0" applyFont="1" applyFill="1" applyBorder="1" applyAlignment="1" applyProtection="1">
      <alignment vertical="center"/>
      <protection locked="0"/>
    </xf>
    <xf numFmtId="0" fontId="7" fillId="3" borderId="8" xfId="0" applyFont="1" applyFill="1" applyBorder="1" applyAlignment="1" applyProtection="1">
      <alignment vertical="center"/>
      <protection locked="0"/>
    </xf>
    <xf numFmtId="0" fontId="7" fillId="3" borderId="10" xfId="0" applyFont="1" applyFill="1" applyBorder="1" applyAlignment="1" applyProtection="1">
      <alignment vertical="center"/>
      <protection locked="0"/>
    </xf>
    <xf numFmtId="0" fontId="7" fillId="3" borderId="12" xfId="0" applyFont="1" applyFill="1" applyBorder="1" applyAlignment="1" applyProtection="1">
      <alignment vertical="center"/>
      <protection locked="0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13" xfId="0" applyFont="1" applyFill="1" applyBorder="1" applyAlignment="1">
      <alignment wrapText="1"/>
    </xf>
    <xf numFmtId="0" fontId="5" fillId="4" borderId="14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14" xfId="0" applyFont="1" applyBorder="1" applyAlignment="1"/>
    <xf numFmtId="49" fontId="0" fillId="0" borderId="0" xfId="0" applyNumberFormat="1"/>
    <xf numFmtId="0" fontId="0" fillId="0" borderId="0" xfId="0" applyAlignment="1"/>
    <xf numFmtId="0" fontId="0" fillId="0" borderId="15" xfId="0" applyFont="1" applyFill="1" applyBorder="1"/>
    <xf numFmtId="49" fontId="7" fillId="3" borderId="4" xfId="0" applyNumberFormat="1" applyFont="1" applyFill="1" applyBorder="1" applyAlignment="1" applyProtection="1">
      <alignment horizontal="center" vertical="center"/>
      <protection locked="0"/>
    </xf>
    <xf numFmtId="14" fontId="5" fillId="0" borderId="14" xfId="0" applyNumberFormat="1" applyFont="1" applyBorder="1" applyAlignment="1"/>
    <xf numFmtId="0" fontId="2" fillId="3" borderId="4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7" xfId="0" applyFont="1" applyFill="1" applyBorder="1" applyAlignment="1" applyProtection="1">
      <alignment horizontal="center" vertical="center"/>
    </xf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7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165" fontId="7" fillId="3" borderId="21" xfId="0" applyNumberFormat="1" applyFont="1" applyFill="1" applyBorder="1" applyAlignment="1" applyProtection="1">
      <alignment vertical="center"/>
      <protection locked="0"/>
    </xf>
    <xf numFmtId="165" fontId="7" fillId="3" borderId="22" xfId="0" applyNumberFormat="1" applyFont="1" applyFill="1" applyBorder="1" applyAlignment="1" applyProtection="1">
      <alignment vertical="center"/>
      <protection locked="0"/>
    </xf>
    <xf numFmtId="0" fontId="2" fillId="5" borderId="23" xfId="0" applyFont="1" applyFill="1" applyBorder="1" applyAlignment="1" applyProtection="1">
      <alignment horizontal="center" vertical="center" wrapText="1"/>
      <protection locked="0"/>
    </xf>
    <xf numFmtId="0" fontId="2" fillId="5" borderId="24" xfId="0" applyFont="1" applyFill="1" applyBorder="1" applyAlignment="1" applyProtection="1">
      <alignment horizontal="center" vertical="center"/>
      <protection locked="0"/>
    </xf>
    <xf numFmtId="0" fontId="2" fillId="5" borderId="25" xfId="0" applyFont="1" applyFill="1" applyBorder="1" applyAlignment="1" applyProtection="1">
      <alignment horizontal="center" vertical="center"/>
      <protection locked="0"/>
    </xf>
    <xf numFmtId="0" fontId="2" fillId="5" borderId="26" xfId="0" applyFont="1" applyFill="1" applyBorder="1" applyAlignment="1" applyProtection="1">
      <alignment horizontal="center" vertical="center"/>
      <protection locked="0"/>
    </xf>
    <xf numFmtId="0" fontId="2" fillId="5" borderId="27" xfId="0" applyFont="1" applyFill="1" applyBorder="1" applyAlignment="1" applyProtection="1">
      <alignment horizontal="center" vertical="center"/>
      <protection locked="0"/>
    </xf>
    <xf numFmtId="0" fontId="2" fillId="5" borderId="25" xfId="0" applyFont="1" applyFill="1" applyBorder="1" applyAlignment="1" applyProtection="1">
      <alignment horizontal="center" vertical="center" wrapText="1"/>
      <protection locked="0"/>
    </xf>
    <xf numFmtId="0" fontId="2" fillId="5" borderId="28" xfId="0" applyFont="1" applyFill="1" applyBorder="1" applyAlignment="1" applyProtection="1">
      <alignment horizontal="center" vertical="center"/>
      <protection locked="0"/>
    </xf>
    <xf numFmtId="49" fontId="7" fillId="3" borderId="7" xfId="0" applyNumberFormat="1" applyFont="1" applyFill="1" applyBorder="1" applyAlignment="1" applyProtection="1">
      <alignment horizontal="center" vertical="center"/>
      <protection locked="0"/>
    </xf>
    <xf numFmtId="165" fontId="7" fillId="3" borderId="29" xfId="0" applyNumberFormat="1" applyFont="1" applyFill="1" applyBorder="1" applyAlignment="1" applyProtection="1">
      <alignment vertical="center"/>
      <protection locked="0"/>
    </xf>
    <xf numFmtId="165" fontId="7" fillId="3" borderId="30" xfId="0" applyNumberFormat="1" applyFont="1" applyFill="1" applyBorder="1" applyAlignment="1" applyProtection="1">
      <alignment vertical="center"/>
      <protection locked="0"/>
    </xf>
    <xf numFmtId="0" fontId="2" fillId="3" borderId="31" xfId="0" applyFont="1" applyFill="1" applyBorder="1" applyAlignment="1" applyProtection="1">
      <alignment horizontal="center" vertical="center"/>
    </xf>
    <xf numFmtId="49" fontId="7" fillId="3" borderId="31" xfId="0" applyNumberFormat="1" applyFont="1" applyFill="1" applyBorder="1" applyAlignment="1" applyProtection="1">
      <alignment horizontal="center" vertical="center"/>
      <protection locked="0"/>
    </xf>
    <xf numFmtId="165" fontId="7" fillId="3" borderId="32" xfId="0" applyNumberFormat="1" applyFont="1" applyFill="1" applyBorder="1" applyAlignment="1" applyProtection="1">
      <alignment vertical="center"/>
      <protection locked="0"/>
    </xf>
    <xf numFmtId="0" fontId="2" fillId="2" borderId="3" xfId="0" applyFont="1" applyFill="1" applyBorder="1" applyAlignment="1" applyProtection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</xf>
    <xf numFmtId="0" fontId="2" fillId="2" borderId="6" xfId="0" applyFont="1" applyFill="1" applyBorder="1" applyAlignment="1" applyProtection="1">
      <alignment horizontal="center" vertical="center" wrapText="1"/>
    </xf>
    <xf numFmtId="0" fontId="2" fillId="2" borderId="11" xfId="0" applyFont="1" applyFill="1" applyBorder="1" applyAlignment="1" applyProtection="1">
      <alignment horizontal="center" vertical="center" wrapText="1"/>
    </xf>
    <xf numFmtId="0" fontId="7" fillId="0" borderId="14" xfId="0" applyFont="1" applyBorder="1" applyAlignment="1" applyProtection="1">
      <protection locked="0"/>
    </xf>
    <xf numFmtId="0" fontId="2" fillId="2" borderId="33" xfId="0" applyFont="1" applyFill="1" applyBorder="1" applyAlignment="1" applyProtection="1">
      <alignment horizontal="center" vertical="center" wrapText="1"/>
    </xf>
    <xf numFmtId="0" fontId="2" fillId="2" borderId="34" xfId="0" applyFont="1" applyFill="1" applyBorder="1" applyAlignment="1" applyProtection="1">
      <alignment horizontal="center" vertical="center" wrapText="1"/>
    </xf>
    <xf numFmtId="0" fontId="2" fillId="2" borderId="35" xfId="0" applyFont="1" applyFill="1" applyBorder="1" applyAlignment="1" applyProtection="1">
      <alignment horizontal="center" vertical="center" wrapText="1"/>
    </xf>
    <xf numFmtId="1" fontId="7" fillId="3" borderId="4" xfId="0" applyNumberFormat="1" applyFont="1" applyFill="1" applyBorder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1" fontId="7" fillId="3" borderId="7" xfId="0" applyNumberFormat="1" applyFont="1" applyFill="1" applyBorder="1" applyAlignment="1" applyProtection="1">
      <alignment horizontal="center" vertical="center"/>
      <protection locked="0"/>
    </xf>
    <xf numFmtId="1" fontId="7" fillId="3" borderId="31" xfId="0" applyNumberFormat="1" applyFont="1" applyFill="1" applyBorder="1" applyAlignment="1" applyProtection="1">
      <alignment horizontal="center" vertical="center"/>
      <protection locked="0"/>
    </xf>
    <xf numFmtId="0" fontId="0" fillId="0" borderId="15" xfId="0" applyBorder="1"/>
    <xf numFmtId="0" fontId="10" fillId="0" borderId="15" xfId="0" applyFont="1" applyBorder="1" applyAlignment="1">
      <alignment horizontal="center"/>
    </xf>
    <xf numFmtId="0" fontId="7" fillId="3" borderId="4" xfId="0" applyNumberFormat="1" applyFont="1" applyFill="1" applyBorder="1" applyAlignment="1" applyProtection="1">
      <alignment horizontal="center" vertical="center"/>
      <protection locked="0"/>
    </xf>
    <xf numFmtId="0" fontId="7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7" xfId="0" applyNumberFormat="1" applyFont="1" applyFill="1" applyBorder="1" applyAlignment="1" applyProtection="1">
      <alignment horizontal="center" vertical="center"/>
      <protection locked="0"/>
    </xf>
    <xf numFmtId="0" fontId="7" fillId="3" borderId="31" xfId="0" applyNumberFormat="1" applyFont="1" applyFill="1" applyBorder="1" applyAlignment="1" applyProtection="1">
      <alignment horizontal="center" vertical="center"/>
      <protection locked="0"/>
    </xf>
    <xf numFmtId="0" fontId="0" fillId="4" borderId="15" xfId="0" applyNumberFormat="1" applyFill="1" applyBorder="1" applyAlignment="1">
      <alignment horizontal="center"/>
    </xf>
    <xf numFmtId="49" fontId="10" fillId="0" borderId="15" xfId="0" applyNumberFormat="1" applyFont="1" applyBorder="1" applyAlignment="1"/>
    <xf numFmtId="0" fontId="10" fillId="0" borderId="15" xfId="0" applyFont="1" applyBorder="1" applyAlignment="1" applyProtection="1">
      <protection locked="0"/>
    </xf>
    <xf numFmtId="0" fontId="10" fillId="0" borderId="15" xfId="0" applyFont="1" applyBorder="1"/>
    <xf numFmtId="49" fontId="0" fillId="4" borderId="15" xfId="0" applyNumberFormat="1" applyFill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2" fillId="2" borderId="36" xfId="0" applyFont="1" applyFill="1" applyBorder="1" applyAlignment="1" applyProtection="1">
      <alignment horizontal="center" vertical="center" wrapText="1"/>
    </xf>
    <xf numFmtId="0" fontId="2" fillId="3" borderId="37" xfId="0" applyFont="1" applyFill="1" applyBorder="1" applyAlignment="1" applyProtection="1">
      <alignment horizontal="center" vertical="center"/>
    </xf>
    <xf numFmtId="0" fontId="7" fillId="3" borderId="37" xfId="0" applyNumberFormat="1" applyFont="1" applyFill="1" applyBorder="1" applyAlignment="1" applyProtection="1">
      <alignment horizontal="center" vertical="center"/>
      <protection locked="0"/>
    </xf>
    <xf numFmtId="49" fontId="7" fillId="3" borderId="37" xfId="0" applyNumberFormat="1" applyFont="1" applyFill="1" applyBorder="1" applyAlignment="1" applyProtection="1">
      <alignment horizontal="center" vertical="center"/>
      <protection locked="0"/>
    </xf>
    <xf numFmtId="1" fontId="7" fillId="3" borderId="37" xfId="0" applyNumberFormat="1" applyFont="1" applyFill="1" applyBorder="1" applyAlignment="1" applyProtection="1">
      <alignment horizontal="center" vertical="center"/>
      <protection locked="0"/>
    </xf>
    <xf numFmtId="165" fontId="7" fillId="3" borderId="38" xfId="0" applyNumberFormat="1" applyFont="1" applyFill="1" applyBorder="1" applyAlignment="1" applyProtection="1">
      <alignment vertical="center"/>
      <protection locked="0"/>
    </xf>
    <xf numFmtId="0" fontId="7" fillId="3" borderId="39" xfId="0" applyFont="1" applyFill="1" applyBorder="1" applyAlignment="1" applyProtection="1">
      <alignment vertical="center"/>
      <protection locked="0"/>
    </xf>
    <xf numFmtId="0" fontId="2" fillId="2" borderId="40" xfId="0" applyFont="1" applyFill="1" applyBorder="1" applyAlignment="1" applyProtection="1">
      <alignment horizontal="center" vertical="center" wrapText="1"/>
    </xf>
    <xf numFmtId="0" fontId="10" fillId="0" borderId="15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5" fillId="4" borderId="16" xfId="0" applyFont="1" applyFill="1" applyBorder="1" applyAlignment="1">
      <alignment horizontal="left"/>
    </xf>
    <xf numFmtId="0" fontId="5" fillId="4" borderId="17" xfId="0" applyFont="1" applyFill="1" applyBorder="1" applyAlignment="1">
      <alignment horizontal="left"/>
    </xf>
    <xf numFmtId="0" fontId="7" fillId="0" borderId="19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5" fillId="4" borderId="16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0" fontId="0" fillId="0" borderId="15" xfId="0" applyNumberFormat="1" applyBorder="1"/>
    <xf numFmtId="0" fontId="0" fillId="0" borderId="0" xfId="0" applyNumberFormat="1"/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xmlns="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76"/>
  <sheetViews>
    <sheetView topLeftCell="B64" workbookViewId="0">
      <selection activeCell="F83" sqref="F83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14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56" t="s">
        <v>24</v>
      </c>
      <c r="C1" s="56" t="s">
        <v>25</v>
      </c>
      <c r="E1" s="62" t="s">
        <v>299</v>
      </c>
      <c r="F1" s="63" t="s">
        <v>300</v>
      </c>
      <c r="G1" s="15"/>
      <c r="H1" s="64" t="s">
        <v>46</v>
      </c>
      <c r="J1" s="75" t="s">
        <v>47</v>
      </c>
      <c r="K1" s="75"/>
    </row>
    <row r="2" spans="1:11" x14ac:dyDescent="0.25">
      <c r="A2" s="55" t="s">
        <v>26</v>
      </c>
      <c r="C2" s="55" t="s">
        <v>28</v>
      </c>
      <c r="E2" s="61">
        <v>1</v>
      </c>
      <c r="F2" s="55" t="s">
        <v>48</v>
      </c>
      <c r="H2" s="83" t="s">
        <v>271</v>
      </c>
      <c r="I2" t="s">
        <v>288</v>
      </c>
      <c r="J2" s="61">
        <v>1</v>
      </c>
      <c r="K2" s="16" t="s">
        <v>208</v>
      </c>
    </row>
    <row r="3" spans="1:11" x14ac:dyDescent="0.25">
      <c r="A3" s="55" t="s">
        <v>27</v>
      </c>
      <c r="C3" s="55" t="s">
        <v>29</v>
      </c>
      <c r="E3" s="61">
        <v>2</v>
      </c>
      <c r="F3" s="55" t="s">
        <v>49</v>
      </c>
      <c r="H3" s="83" t="s">
        <v>272</v>
      </c>
      <c r="J3" s="61">
        <v>2</v>
      </c>
      <c r="K3" s="16" t="s">
        <v>209</v>
      </c>
    </row>
    <row r="4" spans="1:11" x14ac:dyDescent="0.25">
      <c r="A4" s="55" t="s">
        <v>298</v>
      </c>
      <c r="C4" s="55" t="s">
        <v>31</v>
      </c>
      <c r="E4" s="61">
        <v>3</v>
      </c>
      <c r="F4" s="55" t="s">
        <v>50</v>
      </c>
      <c r="H4" s="83" t="s">
        <v>273</v>
      </c>
      <c r="J4" s="61">
        <v>3</v>
      </c>
      <c r="K4" s="16" t="s">
        <v>210</v>
      </c>
    </row>
    <row r="5" spans="1:11" x14ac:dyDescent="0.25">
      <c r="C5" s="55" t="s">
        <v>30</v>
      </c>
      <c r="E5" s="61">
        <v>4</v>
      </c>
      <c r="F5" s="55" t="s">
        <v>51</v>
      </c>
      <c r="H5" s="83" t="s">
        <v>271</v>
      </c>
      <c r="J5" s="61">
        <v>4</v>
      </c>
      <c r="K5" s="16" t="s">
        <v>211</v>
      </c>
    </row>
    <row r="6" spans="1:11" x14ac:dyDescent="0.25">
      <c r="C6" s="55" t="s">
        <v>32</v>
      </c>
      <c r="E6" s="61">
        <v>5</v>
      </c>
      <c r="F6" s="55" t="s">
        <v>52</v>
      </c>
      <c r="H6" s="83" t="s">
        <v>274</v>
      </c>
      <c r="J6" s="61">
        <v>5</v>
      </c>
      <c r="K6" s="16" t="s">
        <v>212</v>
      </c>
    </row>
    <row r="7" spans="1:11" x14ac:dyDescent="0.25">
      <c r="C7" s="55" t="s">
        <v>33</v>
      </c>
      <c r="E7" s="61">
        <v>6</v>
      </c>
      <c r="F7" s="55" t="s">
        <v>53</v>
      </c>
      <c r="H7" s="83" t="s">
        <v>275</v>
      </c>
      <c r="J7" s="61">
        <v>6</v>
      </c>
      <c r="K7" s="16" t="s">
        <v>213</v>
      </c>
    </row>
    <row r="8" spans="1:11" x14ac:dyDescent="0.25">
      <c r="E8" s="61">
        <v>7</v>
      </c>
      <c r="F8" s="55" t="s">
        <v>54</v>
      </c>
      <c r="H8" s="83">
        <v>3120440</v>
      </c>
      <c r="J8" s="61">
        <v>7</v>
      </c>
      <c r="K8" s="16" t="s">
        <v>214</v>
      </c>
    </row>
    <row r="9" spans="1:11" x14ac:dyDescent="0.25">
      <c r="E9" s="61">
        <v>8</v>
      </c>
      <c r="F9" s="55" t="s">
        <v>55</v>
      </c>
      <c r="H9" s="83" t="s">
        <v>276</v>
      </c>
      <c r="J9" s="61">
        <v>8</v>
      </c>
      <c r="K9" s="16" t="s">
        <v>215</v>
      </c>
    </row>
    <row r="10" spans="1:11" x14ac:dyDescent="0.25">
      <c r="E10" s="61">
        <v>9</v>
      </c>
      <c r="F10" s="55" t="s">
        <v>56</v>
      </c>
      <c r="H10" s="83" t="s">
        <v>277</v>
      </c>
      <c r="J10" s="61">
        <v>9</v>
      </c>
      <c r="K10" s="16" t="s">
        <v>216</v>
      </c>
    </row>
    <row r="11" spans="1:11" x14ac:dyDescent="0.25">
      <c r="E11" s="61">
        <v>10</v>
      </c>
      <c r="F11" s="55" t="s">
        <v>57</v>
      </c>
      <c r="H11" s="83" t="s">
        <v>278</v>
      </c>
      <c r="J11" s="61">
        <v>10</v>
      </c>
      <c r="K11" s="16" t="s">
        <v>217</v>
      </c>
    </row>
    <row r="12" spans="1:11" x14ac:dyDescent="0.25">
      <c r="E12" s="61">
        <v>11</v>
      </c>
      <c r="F12" s="55" t="s">
        <v>58</v>
      </c>
      <c r="H12" s="83">
        <v>6515287</v>
      </c>
      <c r="J12" s="61">
        <v>11</v>
      </c>
      <c r="K12" s="16" t="s">
        <v>218</v>
      </c>
    </row>
    <row r="13" spans="1:11" x14ac:dyDescent="0.25">
      <c r="E13" s="61">
        <v>12</v>
      </c>
      <c r="F13" s="55" t="s">
        <v>59</v>
      </c>
      <c r="H13" s="83">
        <v>6515288</v>
      </c>
      <c r="J13" s="61">
        <v>12</v>
      </c>
      <c r="K13" s="16" t="s">
        <v>219</v>
      </c>
    </row>
    <row r="14" spans="1:11" x14ac:dyDescent="0.25">
      <c r="E14" s="61">
        <v>13</v>
      </c>
      <c r="F14" s="55" t="s">
        <v>60</v>
      </c>
      <c r="H14" s="83" t="s">
        <v>279</v>
      </c>
      <c r="J14" s="61">
        <v>13</v>
      </c>
      <c r="K14" s="16" t="s">
        <v>220</v>
      </c>
    </row>
    <row r="15" spans="1:11" x14ac:dyDescent="0.25">
      <c r="E15" s="61">
        <v>14</v>
      </c>
      <c r="F15" s="55" t="s">
        <v>61</v>
      </c>
      <c r="H15" s="83">
        <v>6515273</v>
      </c>
      <c r="J15" s="61">
        <v>14</v>
      </c>
      <c r="K15" s="16" t="s">
        <v>221</v>
      </c>
    </row>
    <row r="16" spans="1:11" x14ac:dyDescent="0.25">
      <c r="E16" s="61">
        <v>15</v>
      </c>
      <c r="F16" s="55" t="s">
        <v>62</v>
      </c>
      <c r="H16" s="83">
        <v>6515244</v>
      </c>
      <c r="J16" s="61">
        <v>15</v>
      </c>
      <c r="K16" s="16" t="s">
        <v>222</v>
      </c>
    </row>
    <row r="17" spans="5:11" x14ac:dyDescent="0.25">
      <c r="E17" s="61">
        <v>16</v>
      </c>
      <c r="F17" s="55" t="s">
        <v>63</v>
      </c>
      <c r="H17" s="83">
        <v>6515242</v>
      </c>
      <c r="J17" s="61">
        <v>16</v>
      </c>
      <c r="K17" s="16" t="s">
        <v>223</v>
      </c>
    </row>
    <row r="18" spans="5:11" x14ac:dyDescent="0.25">
      <c r="E18" s="61">
        <v>17</v>
      </c>
      <c r="F18" s="55" t="s">
        <v>64</v>
      </c>
      <c r="H18" s="83">
        <v>6515243</v>
      </c>
      <c r="J18" s="61">
        <v>17</v>
      </c>
      <c r="K18" s="16" t="s">
        <v>224</v>
      </c>
    </row>
    <row r="19" spans="5:11" x14ac:dyDescent="0.25">
      <c r="E19" s="61">
        <v>18</v>
      </c>
      <c r="F19" s="55" t="s">
        <v>65</v>
      </c>
      <c r="H19" s="83" t="s">
        <v>280</v>
      </c>
      <c r="J19" s="61">
        <v>18</v>
      </c>
      <c r="K19" s="16" t="s">
        <v>225</v>
      </c>
    </row>
    <row r="20" spans="5:11" x14ac:dyDescent="0.25">
      <c r="E20" s="61">
        <v>19</v>
      </c>
      <c r="F20" s="55" t="s">
        <v>66</v>
      </c>
      <c r="H20" s="83" t="s">
        <v>281</v>
      </c>
      <c r="J20" s="61">
        <v>19</v>
      </c>
      <c r="K20" s="16" t="s">
        <v>226</v>
      </c>
    </row>
    <row r="21" spans="5:11" x14ac:dyDescent="0.25">
      <c r="E21" s="61">
        <v>20</v>
      </c>
      <c r="F21" s="55" t="s">
        <v>67</v>
      </c>
      <c r="H21" s="83" t="s">
        <v>282</v>
      </c>
      <c r="J21" s="61">
        <v>20</v>
      </c>
      <c r="K21" s="16" t="s">
        <v>227</v>
      </c>
    </row>
    <row r="22" spans="5:11" x14ac:dyDescent="0.25">
      <c r="E22" s="61">
        <v>21</v>
      </c>
      <c r="F22" s="55" t="s">
        <v>68</v>
      </c>
      <c r="H22" s="83" t="s">
        <v>283</v>
      </c>
      <c r="J22" s="61">
        <v>21</v>
      </c>
      <c r="K22" s="16" t="s">
        <v>228</v>
      </c>
    </row>
    <row r="23" spans="5:11" x14ac:dyDescent="0.25">
      <c r="E23" s="61">
        <v>22</v>
      </c>
      <c r="F23" s="55" t="s">
        <v>69</v>
      </c>
      <c r="H23" s="83" t="s">
        <v>284</v>
      </c>
      <c r="J23" s="61">
        <v>22</v>
      </c>
      <c r="K23" s="16" t="s">
        <v>229</v>
      </c>
    </row>
    <row r="24" spans="5:11" x14ac:dyDescent="0.25">
      <c r="E24" s="61">
        <v>23</v>
      </c>
      <c r="F24" s="55" t="s">
        <v>70</v>
      </c>
      <c r="H24" s="83" t="s">
        <v>285</v>
      </c>
      <c r="J24" s="61">
        <v>23</v>
      </c>
      <c r="K24" s="16" t="s">
        <v>230</v>
      </c>
    </row>
    <row r="25" spans="5:11" x14ac:dyDescent="0.25">
      <c r="E25" s="61">
        <v>24</v>
      </c>
      <c r="F25" s="55" t="s">
        <v>71</v>
      </c>
      <c r="H25" s="83" t="s">
        <v>286</v>
      </c>
      <c r="J25" s="61">
        <v>24</v>
      </c>
      <c r="K25" s="16" t="s">
        <v>231</v>
      </c>
    </row>
    <row r="26" spans="5:11" x14ac:dyDescent="0.25">
      <c r="E26" s="61">
        <v>25</v>
      </c>
      <c r="F26" s="55" t="s">
        <v>72</v>
      </c>
      <c r="H26" s="83" t="s">
        <v>287</v>
      </c>
      <c r="J26" s="61">
        <v>25</v>
      </c>
      <c r="K26" s="16" t="s">
        <v>232</v>
      </c>
    </row>
    <row r="27" spans="5:11" x14ac:dyDescent="0.25">
      <c r="E27" s="61">
        <v>26</v>
      </c>
      <c r="F27" s="55" t="s">
        <v>73</v>
      </c>
      <c r="H27" s="83">
        <v>1004525</v>
      </c>
      <c r="J27" s="61">
        <v>26</v>
      </c>
      <c r="K27" s="16" t="s">
        <v>233</v>
      </c>
    </row>
    <row r="28" spans="5:11" x14ac:dyDescent="0.25">
      <c r="E28" s="61">
        <v>27</v>
      </c>
      <c r="F28" s="55" t="s">
        <v>74</v>
      </c>
      <c r="H28" s="83">
        <v>1008912</v>
      </c>
      <c r="J28" s="61">
        <v>27</v>
      </c>
      <c r="K28" s="16" t="s">
        <v>234</v>
      </c>
    </row>
    <row r="29" spans="5:11" x14ac:dyDescent="0.25">
      <c r="E29" s="61">
        <v>28</v>
      </c>
      <c r="F29" s="55" t="s">
        <v>75</v>
      </c>
      <c r="H29" s="84">
        <v>1007955</v>
      </c>
      <c r="J29" s="61">
        <v>28</v>
      </c>
      <c r="K29" s="16" t="s">
        <v>235</v>
      </c>
    </row>
    <row r="30" spans="5:11" x14ac:dyDescent="0.25">
      <c r="E30" s="61">
        <v>29</v>
      </c>
      <c r="F30" s="55" t="s">
        <v>76</v>
      </c>
      <c r="J30" s="61">
        <v>29</v>
      </c>
      <c r="K30" s="16" t="s">
        <v>236</v>
      </c>
    </row>
    <row r="31" spans="5:11" x14ac:dyDescent="0.25">
      <c r="E31" s="61">
        <v>30</v>
      </c>
      <c r="F31" s="55" t="s">
        <v>77</v>
      </c>
      <c r="J31" s="61">
        <v>30</v>
      </c>
      <c r="K31" s="16" t="s">
        <v>237</v>
      </c>
    </row>
    <row r="32" spans="5:11" x14ac:dyDescent="0.25">
      <c r="E32" s="61">
        <v>31</v>
      </c>
      <c r="F32" s="55" t="s">
        <v>78</v>
      </c>
      <c r="J32" s="61">
        <v>31</v>
      </c>
      <c r="K32" s="16" t="s">
        <v>238</v>
      </c>
    </row>
    <row r="33" spans="5:11" x14ac:dyDescent="0.25">
      <c r="E33" s="61">
        <v>32</v>
      </c>
      <c r="F33" s="55" t="s">
        <v>79</v>
      </c>
      <c r="J33" s="61">
        <v>32</v>
      </c>
      <c r="K33" s="16" t="s">
        <v>239</v>
      </c>
    </row>
    <row r="34" spans="5:11" x14ac:dyDescent="0.25">
      <c r="E34" s="61">
        <v>33</v>
      </c>
      <c r="F34" s="55" t="s">
        <v>80</v>
      </c>
      <c r="J34" s="61">
        <v>33</v>
      </c>
      <c r="K34" s="16" t="s">
        <v>240</v>
      </c>
    </row>
    <row r="35" spans="5:11" x14ac:dyDescent="0.25">
      <c r="E35" s="61">
        <v>34</v>
      </c>
      <c r="F35" s="55" t="s">
        <v>81</v>
      </c>
      <c r="J35" s="61">
        <v>34</v>
      </c>
      <c r="K35" s="16" t="s">
        <v>241</v>
      </c>
    </row>
    <row r="36" spans="5:11" x14ac:dyDescent="0.25">
      <c r="E36" s="61">
        <v>35</v>
      </c>
      <c r="F36" s="55" t="s">
        <v>82</v>
      </c>
      <c r="J36" s="61">
        <v>35</v>
      </c>
      <c r="K36" s="16" t="s">
        <v>242</v>
      </c>
    </row>
    <row r="37" spans="5:11" x14ac:dyDescent="0.25">
      <c r="E37" s="61">
        <v>36</v>
      </c>
      <c r="F37" s="55" t="s">
        <v>83</v>
      </c>
      <c r="J37" s="61">
        <v>36</v>
      </c>
      <c r="K37" s="16" t="s">
        <v>243</v>
      </c>
    </row>
    <row r="38" spans="5:11" x14ac:dyDescent="0.25">
      <c r="E38" s="61">
        <v>37</v>
      </c>
      <c r="F38" s="55" t="s">
        <v>84</v>
      </c>
      <c r="J38" s="61">
        <v>37</v>
      </c>
      <c r="K38" s="16" t="s">
        <v>244</v>
      </c>
    </row>
    <row r="39" spans="5:11" x14ac:dyDescent="0.25">
      <c r="E39" s="61">
        <v>38</v>
      </c>
      <c r="F39" s="55" t="s">
        <v>85</v>
      </c>
      <c r="J39" s="61">
        <v>38</v>
      </c>
      <c r="K39" s="16" t="s">
        <v>245</v>
      </c>
    </row>
    <row r="40" spans="5:11" x14ac:dyDescent="0.25">
      <c r="E40" s="61">
        <v>39</v>
      </c>
      <c r="F40" s="55" t="s">
        <v>86</v>
      </c>
      <c r="J40" s="61">
        <v>39</v>
      </c>
      <c r="K40" s="16" t="s">
        <v>246</v>
      </c>
    </row>
    <row r="41" spans="5:11" x14ac:dyDescent="0.25">
      <c r="E41" s="61">
        <v>40</v>
      </c>
      <c r="F41" s="55" t="s">
        <v>87</v>
      </c>
      <c r="J41" s="61">
        <v>40</v>
      </c>
      <c r="K41" s="16" t="s">
        <v>247</v>
      </c>
    </row>
    <row r="42" spans="5:11" x14ac:dyDescent="0.25">
      <c r="E42" s="61">
        <v>41</v>
      </c>
      <c r="F42" s="55" t="s">
        <v>88</v>
      </c>
      <c r="J42" s="61">
        <v>41</v>
      </c>
      <c r="K42" s="16" t="s">
        <v>248</v>
      </c>
    </row>
    <row r="43" spans="5:11" x14ac:dyDescent="0.25">
      <c r="E43" s="61">
        <v>42</v>
      </c>
      <c r="F43" s="55" t="s">
        <v>89</v>
      </c>
      <c r="J43" s="61">
        <v>42</v>
      </c>
      <c r="K43" s="16" t="s">
        <v>249</v>
      </c>
    </row>
    <row r="44" spans="5:11" x14ac:dyDescent="0.25">
      <c r="E44" s="61">
        <v>43</v>
      </c>
      <c r="F44" s="55" t="s">
        <v>90</v>
      </c>
      <c r="J44" s="61">
        <v>43</v>
      </c>
      <c r="K44" s="16" t="s">
        <v>250</v>
      </c>
    </row>
    <row r="45" spans="5:11" x14ac:dyDescent="0.25">
      <c r="E45" s="61">
        <v>44</v>
      </c>
      <c r="F45" s="55" t="s">
        <v>91</v>
      </c>
      <c r="J45" s="61">
        <v>44</v>
      </c>
      <c r="K45" s="16" t="s">
        <v>251</v>
      </c>
    </row>
    <row r="46" spans="5:11" x14ac:dyDescent="0.25">
      <c r="E46" s="61">
        <v>45</v>
      </c>
      <c r="F46" s="55" t="s">
        <v>92</v>
      </c>
      <c r="J46" s="61">
        <v>45</v>
      </c>
      <c r="K46" s="16" t="s">
        <v>252</v>
      </c>
    </row>
    <row r="47" spans="5:11" x14ac:dyDescent="0.25">
      <c r="E47" s="61">
        <v>46</v>
      </c>
      <c r="F47" s="55" t="s">
        <v>93</v>
      </c>
      <c r="J47" s="61">
        <v>46</v>
      </c>
      <c r="K47" s="16" t="s">
        <v>253</v>
      </c>
    </row>
    <row r="48" spans="5:11" x14ac:dyDescent="0.25">
      <c r="E48" s="61">
        <v>47</v>
      </c>
      <c r="F48" s="55" t="s">
        <v>94</v>
      </c>
      <c r="J48" s="61">
        <v>47</v>
      </c>
      <c r="K48" s="16" t="s">
        <v>254</v>
      </c>
    </row>
    <row r="49" spans="5:11" x14ac:dyDescent="0.25">
      <c r="E49" s="61">
        <v>48</v>
      </c>
      <c r="F49" s="55" t="s">
        <v>95</v>
      </c>
      <c r="J49" s="61">
        <v>48</v>
      </c>
      <c r="K49" s="16" t="s">
        <v>255</v>
      </c>
    </row>
    <row r="50" spans="5:11" x14ac:dyDescent="0.25">
      <c r="E50" s="61">
        <v>49</v>
      </c>
      <c r="F50" s="55" t="s">
        <v>96</v>
      </c>
      <c r="J50" s="61">
        <v>49</v>
      </c>
      <c r="K50" s="16" t="s">
        <v>256</v>
      </c>
    </row>
    <row r="51" spans="5:11" x14ac:dyDescent="0.25">
      <c r="E51" s="61">
        <v>50</v>
      </c>
      <c r="F51" s="55" t="s">
        <v>97</v>
      </c>
      <c r="J51" s="61">
        <v>50</v>
      </c>
      <c r="K51" s="16" t="s">
        <v>257</v>
      </c>
    </row>
    <row r="52" spans="5:11" x14ac:dyDescent="0.25">
      <c r="E52" s="61">
        <v>51</v>
      </c>
      <c r="F52" s="55" t="s">
        <v>98</v>
      </c>
      <c r="J52" s="61">
        <v>51</v>
      </c>
      <c r="K52" s="16" t="s">
        <v>258</v>
      </c>
    </row>
    <row r="53" spans="5:11" x14ac:dyDescent="0.25">
      <c r="E53" s="61">
        <v>52</v>
      </c>
      <c r="F53" s="55" t="s">
        <v>99</v>
      </c>
      <c r="J53" s="61">
        <v>52</v>
      </c>
      <c r="K53" s="16" t="s">
        <v>259</v>
      </c>
    </row>
    <row r="54" spans="5:11" x14ac:dyDescent="0.25">
      <c r="E54" s="61">
        <v>53</v>
      </c>
      <c r="F54" s="55" t="s">
        <v>100</v>
      </c>
      <c r="J54" s="61">
        <v>53</v>
      </c>
      <c r="K54" s="16" t="s">
        <v>260</v>
      </c>
    </row>
    <row r="55" spans="5:11" x14ac:dyDescent="0.25">
      <c r="E55" s="61">
        <v>54</v>
      </c>
      <c r="F55" s="55" t="s">
        <v>101</v>
      </c>
      <c r="J55" s="61">
        <v>54</v>
      </c>
      <c r="K55" s="16" t="s">
        <v>261</v>
      </c>
    </row>
    <row r="56" spans="5:11" x14ac:dyDescent="0.25">
      <c r="E56" s="61">
        <v>55</v>
      </c>
      <c r="F56" s="55" t="s">
        <v>102</v>
      </c>
      <c r="J56" s="61">
        <v>55</v>
      </c>
      <c r="K56" s="16" t="s">
        <v>262</v>
      </c>
    </row>
    <row r="57" spans="5:11" x14ac:dyDescent="0.25">
      <c r="E57" s="61">
        <v>56</v>
      </c>
      <c r="F57" s="55" t="s">
        <v>103</v>
      </c>
      <c r="J57" s="61">
        <v>56</v>
      </c>
      <c r="K57" s="16" t="s">
        <v>263</v>
      </c>
    </row>
    <row r="58" spans="5:11" x14ac:dyDescent="0.25">
      <c r="E58" s="61">
        <v>57</v>
      </c>
      <c r="F58" s="55" t="s">
        <v>104</v>
      </c>
      <c r="J58" s="61">
        <v>57</v>
      </c>
      <c r="K58" s="16" t="s">
        <v>264</v>
      </c>
    </row>
    <row r="59" spans="5:11" x14ac:dyDescent="0.25">
      <c r="E59" s="61">
        <v>58</v>
      </c>
      <c r="F59" s="55" t="s">
        <v>105</v>
      </c>
      <c r="J59" s="61">
        <v>58</v>
      </c>
      <c r="K59" s="16" t="s">
        <v>265</v>
      </c>
    </row>
    <row r="60" spans="5:11" x14ac:dyDescent="0.25">
      <c r="E60" s="61">
        <v>59</v>
      </c>
      <c r="F60" s="55" t="s">
        <v>106</v>
      </c>
      <c r="J60" s="61">
        <v>59</v>
      </c>
      <c r="K60" s="16" t="s">
        <v>266</v>
      </c>
    </row>
    <row r="61" spans="5:11" x14ac:dyDescent="0.25">
      <c r="E61" s="61">
        <v>60</v>
      </c>
      <c r="F61" s="55" t="s">
        <v>107</v>
      </c>
      <c r="J61" s="61">
        <v>60</v>
      </c>
      <c r="K61" s="16" t="s">
        <v>267</v>
      </c>
    </row>
    <row r="62" spans="5:11" x14ac:dyDescent="0.25">
      <c r="E62" s="61">
        <v>61</v>
      </c>
      <c r="F62" s="55" t="s">
        <v>108</v>
      </c>
      <c r="J62" s="61">
        <v>61</v>
      </c>
      <c r="K62" s="16" t="s">
        <v>268</v>
      </c>
    </row>
    <row r="63" spans="5:11" x14ac:dyDescent="0.25">
      <c r="E63" s="61">
        <v>62</v>
      </c>
      <c r="F63" s="55" t="s">
        <v>109</v>
      </c>
      <c r="J63" s="61">
        <v>62</v>
      </c>
      <c r="K63" s="16" t="s">
        <v>269</v>
      </c>
    </row>
    <row r="64" spans="5:11" x14ac:dyDescent="0.25">
      <c r="E64" s="61">
        <v>63</v>
      </c>
      <c r="F64" s="55" t="s">
        <v>110</v>
      </c>
    </row>
    <row r="65" spans="5:11" x14ac:dyDescent="0.25">
      <c r="E65" s="61">
        <v>64</v>
      </c>
      <c r="F65" s="55" t="s">
        <v>111</v>
      </c>
      <c r="J65" s="65" t="s">
        <v>304</v>
      </c>
      <c r="K65" s="55" t="s">
        <v>216</v>
      </c>
    </row>
    <row r="66" spans="5:11" x14ac:dyDescent="0.25">
      <c r="E66" s="61">
        <v>65</v>
      </c>
      <c r="F66" s="55" t="s">
        <v>112</v>
      </c>
      <c r="J66" s="65" t="s">
        <v>305</v>
      </c>
      <c r="K66" s="55" t="s">
        <v>302</v>
      </c>
    </row>
    <row r="67" spans="5:11" x14ac:dyDescent="0.25">
      <c r="E67" s="61">
        <v>66</v>
      </c>
      <c r="F67" s="55" t="s">
        <v>113</v>
      </c>
      <c r="J67" s="65" t="s">
        <v>306</v>
      </c>
      <c r="K67" s="55" t="s">
        <v>303</v>
      </c>
    </row>
    <row r="68" spans="5:11" x14ac:dyDescent="0.25">
      <c r="E68" s="61">
        <v>67</v>
      </c>
      <c r="F68" s="55" t="s">
        <v>114</v>
      </c>
      <c r="J68" s="65" t="s">
        <v>307</v>
      </c>
      <c r="K68" s="55" t="s">
        <v>268</v>
      </c>
    </row>
    <row r="69" spans="5:11" x14ac:dyDescent="0.25">
      <c r="E69" s="61">
        <v>68</v>
      </c>
      <c r="F69" s="55" t="s">
        <v>115</v>
      </c>
    </row>
    <row r="70" spans="5:11" x14ac:dyDescent="0.25">
      <c r="E70" s="61">
        <v>69</v>
      </c>
      <c r="F70" s="55" t="s">
        <v>116</v>
      </c>
    </row>
    <row r="71" spans="5:11" x14ac:dyDescent="0.25">
      <c r="E71" s="61">
        <v>70</v>
      </c>
      <c r="F71" s="55" t="s">
        <v>117</v>
      </c>
    </row>
    <row r="72" spans="5:11" x14ac:dyDescent="0.25">
      <c r="E72" s="61">
        <v>71</v>
      </c>
      <c r="F72" s="55" t="s">
        <v>118</v>
      </c>
    </row>
    <row r="73" spans="5:11" x14ac:dyDescent="0.25">
      <c r="E73" s="61">
        <v>72</v>
      </c>
      <c r="F73" s="55" t="s">
        <v>119</v>
      </c>
    </row>
    <row r="74" spans="5:11" x14ac:dyDescent="0.25">
      <c r="E74" s="61">
        <v>73</v>
      </c>
      <c r="F74" s="55" t="s">
        <v>120</v>
      </c>
    </row>
    <row r="75" spans="5:11" x14ac:dyDescent="0.25">
      <c r="E75" s="61">
        <v>74</v>
      </c>
      <c r="F75" s="55" t="s">
        <v>121</v>
      </c>
    </row>
    <row r="76" spans="5:11" x14ac:dyDescent="0.25">
      <c r="E76" s="61">
        <v>75</v>
      </c>
      <c r="F76" s="55" t="s">
        <v>122</v>
      </c>
    </row>
    <row r="77" spans="5:11" x14ac:dyDescent="0.25">
      <c r="E77" s="61">
        <v>76</v>
      </c>
      <c r="F77" s="55" t="s">
        <v>123</v>
      </c>
    </row>
    <row r="78" spans="5:11" x14ac:dyDescent="0.25">
      <c r="E78" s="61">
        <v>77</v>
      </c>
      <c r="F78" s="55" t="s">
        <v>124</v>
      </c>
    </row>
    <row r="79" spans="5:11" x14ac:dyDescent="0.25">
      <c r="E79" s="61">
        <v>78</v>
      </c>
      <c r="F79" s="55" t="s">
        <v>125</v>
      </c>
    </row>
    <row r="80" spans="5:11" x14ac:dyDescent="0.25">
      <c r="E80" s="61">
        <v>79</v>
      </c>
      <c r="F80" s="55" t="s">
        <v>126</v>
      </c>
    </row>
    <row r="81" spans="5:6" x14ac:dyDescent="0.25">
      <c r="E81" s="61">
        <v>80</v>
      </c>
      <c r="F81" s="55" t="s">
        <v>127</v>
      </c>
    </row>
    <row r="82" spans="5:6" x14ac:dyDescent="0.25">
      <c r="E82" s="61">
        <v>81</v>
      </c>
      <c r="F82" s="55" t="s">
        <v>128</v>
      </c>
    </row>
    <row r="83" spans="5:6" x14ac:dyDescent="0.25">
      <c r="E83" s="61">
        <v>82</v>
      </c>
      <c r="F83" s="55" t="s">
        <v>129</v>
      </c>
    </row>
    <row r="84" spans="5:6" x14ac:dyDescent="0.25">
      <c r="E84" s="61">
        <v>83</v>
      </c>
      <c r="F84" s="55" t="s">
        <v>130</v>
      </c>
    </row>
    <row r="85" spans="5:6" x14ac:dyDescent="0.25">
      <c r="E85" s="61">
        <v>84</v>
      </c>
      <c r="F85" s="55" t="s">
        <v>131</v>
      </c>
    </row>
    <row r="86" spans="5:6" x14ac:dyDescent="0.25">
      <c r="E86" s="61">
        <v>85</v>
      </c>
      <c r="F86" s="55" t="s">
        <v>132</v>
      </c>
    </row>
    <row r="87" spans="5:6" x14ac:dyDescent="0.25">
      <c r="E87" s="61">
        <v>86</v>
      </c>
      <c r="F87" s="55" t="s">
        <v>133</v>
      </c>
    </row>
    <row r="88" spans="5:6" x14ac:dyDescent="0.25">
      <c r="E88" s="61">
        <v>87</v>
      </c>
      <c r="F88" s="55" t="s">
        <v>134</v>
      </c>
    </row>
    <row r="89" spans="5:6" x14ac:dyDescent="0.25">
      <c r="E89" s="61">
        <v>88</v>
      </c>
      <c r="F89" s="55" t="s">
        <v>135</v>
      </c>
    </row>
    <row r="90" spans="5:6" x14ac:dyDescent="0.25">
      <c r="E90" s="61">
        <v>89</v>
      </c>
      <c r="F90" s="55" t="s">
        <v>136</v>
      </c>
    </row>
    <row r="91" spans="5:6" x14ac:dyDescent="0.25">
      <c r="E91" s="61">
        <v>90</v>
      </c>
      <c r="F91" s="55" t="s">
        <v>137</v>
      </c>
    </row>
    <row r="92" spans="5:6" x14ac:dyDescent="0.25">
      <c r="E92" s="61">
        <v>91</v>
      </c>
      <c r="F92" s="55" t="s">
        <v>138</v>
      </c>
    </row>
    <row r="93" spans="5:6" x14ac:dyDescent="0.25">
      <c r="E93" s="61">
        <v>92</v>
      </c>
      <c r="F93" s="55" t="s">
        <v>139</v>
      </c>
    </row>
    <row r="94" spans="5:6" x14ac:dyDescent="0.25">
      <c r="E94" s="61">
        <v>93</v>
      </c>
      <c r="F94" s="55" t="s">
        <v>140</v>
      </c>
    </row>
    <row r="95" spans="5:6" x14ac:dyDescent="0.25">
      <c r="E95" s="61">
        <v>94</v>
      </c>
      <c r="F95" s="55" t="s">
        <v>141</v>
      </c>
    </row>
    <row r="96" spans="5:6" x14ac:dyDescent="0.25">
      <c r="E96" s="61">
        <v>95</v>
      </c>
      <c r="F96" s="55" t="s">
        <v>142</v>
      </c>
    </row>
    <row r="97" spans="5:6" x14ac:dyDescent="0.25">
      <c r="E97" s="61">
        <v>96</v>
      </c>
      <c r="F97" s="55" t="s">
        <v>143</v>
      </c>
    </row>
    <row r="98" spans="5:6" x14ac:dyDescent="0.25">
      <c r="E98" s="61">
        <v>97</v>
      </c>
      <c r="F98" s="55" t="s">
        <v>144</v>
      </c>
    </row>
    <row r="99" spans="5:6" x14ac:dyDescent="0.25">
      <c r="E99" s="61">
        <v>98</v>
      </c>
      <c r="F99" s="55" t="s">
        <v>145</v>
      </c>
    </row>
    <row r="100" spans="5:6" x14ac:dyDescent="0.25">
      <c r="E100" s="61">
        <v>99</v>
      </c>
      <c r="F100" s="55" t="s">
        <v>146</v>
      </c>
    </row>
    <row r="101" spans="5:6" x14ac:dyDescent="0.25">
      <c r="E101" s="61">
        <v>100</v>
      </c>
      <c r="F101" s="55" t="s">
        <v>147</v>
      </c>
    </row>
    <row r="102" spans="5:6" x14ac:dyDescent="0.25">
      <c r="E102" s="61">
        <v>101</v>
      </c>
      <c r="F102" s="55" t="s">
        <v>148</v>
      </c>
    </row>
    <row r="103" spans="5:6" x14ac:dyDescent="0.25">
      <c r="E103" s="61">
        <v>102</v>
      </c>
      <c r="F103" s="55" t="s">
        <v>149</v>
      </c>
    </row>
    <row r="104" spans="5:6" x14ac:dyDescent="0.25">
      <c r="E104" s="61">
        <v>103</v>
      </c>
      <c r="F104" s="55" t="s">
        <v>150</v>
      </c>
    </row>
    <row r="105" spans="5:6" x14ac:dyDescent="0.25">
      <c r="E105" s="61">
        <v>104</v>
      </c>
      <c r="F105" s="55" t="s">
        <v>151</v>
      </c>
    </row>
    <row r="106" spans="5:6" x14ac:dyDescent="0.25">
      <c r="E106" s="61">
        <v>105</v>
      </c>
      <c r="F106" s="55" t="s">
        <v>152</v>
      </c>
    </row>
    <row r="107" spans="5:6" x14ac:dyDescent="0.25">
      <c r="E107" s="61">
        <v>106</v>
      </c>
      <c r="F107" s="55" t="s">
        <v>153</v>
      </c>
    </row>
    <row r="108" spans="5:6" x14ac:dyDescent="0.25">
      <c r="E108" s="61">
        <v>107</v>
      </c>
      <c r="F108" s="55" t="s">
        <v>154</v>
      </c>
    </row>
    <row r="109" spans="5:6" x14ac:dyDescent="0.25">
      <c r="E109" s="61">
        <v>108</v>
      </c>
      <c r="F109" s="55" t="s">
        <v>155</v>
      </c>
    </row>
    <row r="110" spans="5:6" x14ac:dyDescent="0.25">
      <c r="E110" s="61">
        <v>109</v>
      </c>
      <c r="F110" s="55" t="s">
        <v>156</v>
      </c>
    </row>
    <row r="111" spans="5:6" x14ac:dyDescent="0.25">
      <c r="E111" s="61">
        <v>110</v>
      </c>
      <c r="F111" s="55" t="s">
        <v>157</v>
      </c>
    </row>
    <row r="112" spans="5:6" x14ac:dyDescent="0.25">
      <c r="E112" s="61">
        <v>111</v>
      </c>
      <c r="F112" s="55" t="s">
        <v>158</v>
      </c>
    </row>
    <row r="113" spans="5:6" x14ac:dyDescent="0.25">
      <c r="E113" s="61">
        <v>112</v>
      </c>
      <c r="F113" s="55" t="s">
        <v>159</v>
      </c>
    </row>
    <row r="114" spans="5:6" x14ac:dyDescent="0.25">
      <c r="E114" s="61">
        <v>113</v>
      </c>
      <c r="F114" s="55" t="s">
        <v>160</v>
      </c>
    </row>
    <row r="115" spans="5:6" x14ac:dyDescent="0.25">
      <c r="E115" s="61">
        <v>114</v>
      </c>
      <c r="F115" s="55" t="s">
        <v>161</v>
      </c>
    </row>
    <row r="116" spans="5:6" x14ac:dyDescent="0.25">
      <c r="E116" s="61">
        <v>115</v>
      </c>
      <c r="F116" s="55" t="s">
        <v>162</v>
      </c>
    </row>
    <row r="117" spans="5:6" x14ac:dyDescent="0.25">
      <c r="E117" s="61">
        <v>116</v>
      </c>
      <c r="F117" s="55" t="s">
        <v>163</v>
      </c>
    </row>
    <row r="118" spans="5:6" x14ac:dyDescent="0.25">
      <c r="E118" s="61">
        <v>117</v>
      </c>
      <c r="F118" s="55" t="s">
        <v>164</v>
      </c>
    </row>
    <row r="119" spans="5:6" x14ac:dyDescent="0.25">
      <c r="E119" s="61">
        <v>118</v>
      </c>
      <c r="F119" s="55" t="s">
        <v>165</v>
      </c>
    </row>
    <row r="120" spans="5:6" x14ac:dyDescent="0.25">
      <c r="E120" s="61">
        <v>119</v>
      </c>
      <c r="F120" s="55" t="s">
        <v>166</v>
      </c>
    </row>
    <row r="121" spans="5:6" x14ac:dyDescent="0.25">
      <c r="E121" s="61">
        <v>120</v>
      </c>
      <c r="F121" s="55" t="s">
        <v>167</v>
      </c>
    </row>
    <row r="122" spans="5:6" x14ac:dyDescent="0.25">
      <c r="E122" s="61">
        <v>121</v>
      </c>
      <c r="F122" s="55" t="s">
        <v>168</v>
      </c>
    </row>
    <row r="123" spans="5:6" x14ac:dyDescent="0.25">
      <c r="E123" s="61">
        <v>122</v>
      </c>
      <c r="F123" s="55" t="s">
        <v>169</v>
      </c>
    </row>
    <row r="124" spans="5:6" x14ac:dyDescent="0.25">
      <c r="E124" s="61">
        <v>123</v>
      </c>
      <c r="F124" s="55" t="s">
        <v>170</v>
      </c>
    </row>
    <row r="125" spans="5:6" x14ac:dyDescent="0.25">
      <c r="E125" s="61">
        <v>124</v>
      </c>
      <c r="F125" s="55" t="s">
        <v>171</v>
      </c>
    </row>
    <row r="126" spans="5:6" x14ac:dyDescent="0.25">
      <c r="E126" s="61">
        <v>125</v>
      </c>
      <c r="F126" s="55" t="s">
        <v>172</v>
      </c>
    </row>
    <row r="127" spans="5:6" x14ac:dyDescent="0.25">
      <c r="E127" s="61">
        <v>126</v>
      </c>
      <c r="F127" s="55" t="s">
        <v>173</v>
      </c>
    </row>
    <row r="128" spans="5:6" x14ac:dyDescent="0.25">
      <c r="E128" s="61">
        <v>127</v>
      </c>
      <c r="F128" s="55" t="s">
        <v>174</v>
      </c>
    </row>
    <row r="129" spans="5:6" x14ac:dyDescent="0.25">
      <c r="E129" s="61">
        <v>128</v>
      </c>
      <c r="F129" s="55" t="s">
        <v>175</v>
      </c>
    </row>
    <row r="130" spans="5:6" x14ac:dyDescent="0.25">
      <c r="E130" s="61">
        <v>129</v>
      </c>
      <c r="F130" s="55" t="s">
        <v>176</v>
      </c>
    </row>
    <row r="131" spans="5:6" x14ac:dyDescent="0.25">
      <c r="E131" s="61">
        <v>130</v>
      </c>
      <c r="F131" s="55" t="s">
        <v>177</v>
      </c>
    </row>
    <row r="132" spans="5:6" x14ac:dyDescent="0.25">
      <c r="E132" s="61">
        <v>131</v>
      </c>
      <c r="F132" s="55" t="s">
        <v>178</v>
      </c>
    </row>
    <row r="133" spans="5:6" x14ac:dyDescent="0.25">
      <c r="E133" s="61">
        <v>132</v>
      </c>
      <c r="F133" s="55" t="s">
        <v>179</v>
      </c>
    </row>
    <row r="134" spans="5:6" x14ac:dyDescent="0.25">
      <c r="E134" s="61">
        <v>133</v>
      </c>
      <c r="F134" s="55" t="s">
        <v>180</v>
      </c>
    </row>
    <row r="135" spans="5:6" x14ac:dyDescent="0.25">
      <c r="E135" s="61">
        <v>134</v>
      </c>
      <c r="F135" s="55" t="s">
        <v>181</v>
      </c>
    </row>
    <row r="136" spans="5:6" x14ac:dyDescent="0.25">
      <c r="E136" s="61">
        <v>135</v>
      </c>
      <c r="F136" s="55" t="s">
        <v>182</v>
      </c>
    </row>
    <row r="137" spans="5:6" x14ac:dyDescent="0.25">
      <c r="E137" s="61">
        <v>136</v>
      </c>
      <c r="F137" s="55" t="s">
        <v>183</v>
      </c>
    </row>
    <row r="138" spans="5:6" x14ac:dyDescent="0.25">
      <c r="E138" s="61">
        <v>137</v>
      </c>
      <c r="F138" s="55" t="s">
        <v>184</v>
      </c>
    </row>
    <row r="139" spans="5:6" x14ac:dyDescent="0.25">
      <c r="E139" s="61">
        <v>138</v>
      </c>
      <c r="F139" s="55" t="s">
        <v>185</v>
      </c>
    </row>
    <row r="140" spans="5:6" x14ac:dyDescent="0.25">
      <c r="E140" s="61">
        <v>139</v>
      </c>
      <c r="F140" s="55" t="s">
        <v>186</v>
      </c>
    </row>
    <row r="141" spans="5:6" x14ac:dyDescent="0.25">
      <c r="E141" s="61">
        <v>140</v>
      </c>
      <c r="F141" s="55" t="s">
        <v>187</v>
      </c>
    </row>
    <row r="142" spans="5:6" x14ac:dyDescent="0.25">
      <c r="E142" s="61">
        <v>141</v>
      </c>
      <c r="F142" s="55" t="s">
        <v>188</v>
      </c>
    </row>
    <row r="143" spans="5:6" x14ac:dyDescent="0.25">
      <c r="E143" s="61">
        <v>142</v>
      </c>
      <c r="F143" s="55" t="s">
        <v>189</v>
      </c>
    </row>
    <row r="144" spans="5:6" x14ac:dyDescent="0.25">
      <c r="E144" s="61">
        <v>143</v>
      </c>
      <c r="F144" s="55" t="s">
        <v>190</v>
      </c>
    </row>
    <row r="145" spans="5:6" x14ac:dyDescent="0.25">
      <c r="E145" s="61">
        <v>144</v>
      </c>
      <c r="F145" s="55" t="s">
        <v>191</v>
      </c>
    </row>
    <row r="146" spans="5:6" x14ac:dyDescent="0.25">
      <c r="E146" s="61">
        <v>145</v>
      </c>
      <c r="F146" s="55" t="s">
        <v>192</v>
      </c>
    </row>
    <row r="147" spans="5:6" x14ac:dyDescent="0.25">
      <c r="E147" s="61">
        <v>146</v>
      </c>
      <c r="F147" s="55" t="s">
        <v>193</v>
      </c>
    </row>
    <row r="148" spans="5:6" x14ac:dyDescent="0.25">
      <c r="E148" s="61">
        <v>147</v>
      </c>
      <c r="F148" s="55" t="s">
        <v>194</v>
      </c>
    </row>
    <row r="149" spans="5:6" x14ac:dyDescent="0.25">
      <c r="E149" s="61">
        <v>148</v>
      </c>
      <c r="F149" s="64" t="s">
        <v>195</v>
      </c>
    </row>
    <row r="150" spans="5:6" x14ac:dyDescent="0.25">
      <c r="E150" s="61">
        <v>149</v>
      </c>
      <c r="F150" s="55" t="s">
        <v>196</v>
      </c>
    </row>
    <row r="151" spans="5:6" x14ac:dyDescent="0.25">
      <c r="E151" s="61">
        <v>150</v>
      </c>
      <c r="F151" s="55" t="s">
        <v>197</v>
      </c>
    </row>
    <row r="152" spans="5:6" x14ac:dyDescent="0.25">
      <c r="E152" s="61">
        <v>151</v>
      </c>
      <c r="F152" s="55" t="s">
        <v>198</v>
      </c>
    </row>
    <row r="153" spans="5:6" x14ac:dyDescent="0.25">
      <c r="E153" s="61">
        <v>152</v>
      </c>
      <c r="F153" s="55" t="s">
        <v>199</v>
      </c>
    </row>
    <row r="154" spans="5:6" x14ac:dyDescent="0.25">
      <c r="E154" s="61">
        <v>153</v>
      </c>
      <c r="F154" s="55" t="s">
        <v>200</v>
      </c>
    </row>
    <row r="155" spans="5:6" x14ac:dyDescent="0.25">
      <c r="E155" s="61">
        <v>154</v>
      </c>
      <c r="F155" s="55" t="s">
        <v>201</v>
      </c>
    </row>
    <row r="156" spans="5:6" x14ac:dyDescent="0.25">
      <c r="E156" s="61">
        <v>155</v>
      </c>
      <c r="F156" s="55" t="s">
        <v>202</v>
      </c>
    </row>
    <row r="157" spans="5:6" x14ac:dyDescent="0.25">
      <c r="E157" s="61">
        <v>156</v>
      </c>
      <c r="F157" s="55" t="s">
        <v>203</v>
      </c>
    </row>
    <row r="158" spans="5:6" x14ac:dyDescent="0.25">
      <c r="E158" s="61">
        <v>157</v>
      </c>
      <c r="F158" s="55" t="s">
        <v>204</v>
      </c>
    </row>
    <row r="159" spans="5:6" x14ac:dyDescent="0.25">
      <c r="E159" s="61">
        <v>158</v>
      </c>
      <c r="F159" s="55" t="s">
        <v>205</v>
      </c>
    </row>
    <row r="160" spans="5:6" x14ac:dyDescent="0.25">
      <c r="E160" s="61">
        <v>159</v>
      </c>
      <c r="F160" s="55" t="s">
        <v>206</v>
      </c>
    </row>
    <row r="161" spans="5:6" x14ac:dyDescent="0.25">
      <c r="E161" s="61">
        <v>160</v>
      </c>
      <c r="F161" s="55" t="s">
        <v>207</v>
      </c>
    </row>
    <row r="162" spans="5:6" x14ac:dyDescent="0.25">
      <c r="E162" s="61">
        <v>161</v>
      </c>
      <c r="F162" s="55" t="s">
        <v>310</v>
      </c>
    </row>
    <row r="163" spans="5:6" x14ac:dyDescent="0.25">
      <c r="E163" s="61">
        <v>162</v>
      </c>
      <c r="F163" s="55" t="s">
        <v>311</v>
      </c>
    </row>
    <row r="164" spans="5:6" x14ac:dyDescent="0.25">
      <c r="E164" s="61">
        <v>163</v>
      </c>
      <c r="F164" s="55" t="s">
        <v>312</v>
      </c>
    </row>
    <row r="165" spans="5:6" x14ac:dyDescent="0.25">
      <c r="E165" s="61">
        <v>164</v>
      </c>
      <c r="F165" s="55" t="s">
        <v>313</v>
      </c>
    </row>
    <row r="166" spans="5:6" x14ac:dyDescent="0.25">
      <c r="E166" s="61">
        <v>165</v>
      </c>
      <c r="F166" s="55" t="s">
        <v>314</v>
      </c>
    </row>
    <row r="167" spans="5:6" x14ac:dyDescent="0.25">
      <c r="E167" s="61">
        <v>166</v>
      </c>
      <c r="F167" s="55" t="s">
        <v>315</v>
      </c>
    </row>
    <row r="168" spans="5:6" x14ac:dyDescent="0.25">
      <c r="E168" s="61">
        <v>167</v>
      </c>
      <c r="F168" s="55" t="s">
        <v>316</v>
      </c>
    </row>
    <row r="169" spans="5:6" x14ac:dyDescent="0.25">
      <c r="E169" s="61">
        <v>168</v>
      </c>
      <c r="F169" s="55" t="s">
        <v>317</v>
      </c>
    </row>
    <row r="170" spans="5:6" x14ac:dyDescent="0.25">
      <c r="E170" s="61">
        <v>169</v>
      </c>
      <c r="F170" s="55" t="s">
        <v>318</v>
      </c>
    </row>
    <row r="171" spans="5:6" x14ac:dyDescent="0.25">
      <c r="E171" s="61">
        <v>170</v>
      </c>
      <c r="F171" s="55" t="s">
        <v>319</v>
      </c>
    </row>
    <row r="172" spans="5:6" x14ac:dyDescent="0.25">
      <c r="E172" s="61">
        <v>171</v>
      </c>
      <c r="F172" s="55" t="s">
        <v>320</v>
      </c>
    </row>
    <row r="173" spans="5:6" x14ac:dyDescent="0.25">
      <c r="E173" s="61">
        <v>172</v>
      </c>
      <c r="F173" s="55" t="s">
        <v>321</v>
      </c>
    </row>
    <row r="174" spans="5:6" x14ac:dyDescent="0.25">
      <c r="E174" s="61">
        <v>173</v>
      </c>
      <c r="F174" s="55" t="s">
        <v>322</v>
      </c>
    </row>
    <row r="175" spans="5:6" x14ac:dyDescent="0.25">
      <c r="E175" s="61">
        <v>174</v>
      </c>
      <c r="F175" s="55" t="s">
        <v>323</v>
      </c>
    </row>
    <row r="176" spans="5:6" x14ac:dyDescent="0.25">
      <c r="E176" s="61">
        <v>999</v>
      </c>
      <c r="F176" s="55" t="s">
        <v>324</v>
      </c>
    </row>
  </sheetData>
  <mergeCells count="1">
    <mergeCell ref="J1:K1"/>
  </mergeCells>
  <dataValidations count="1">
    <dataValidation type="list" allowBlank="1" showInputMessage="1" sqref="I2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L60"/>
  <sheetViews>
    <sheetView showGridLines="0" tabSelected="1" zoomScale="85" zoomScaleNormal="85" workbookViewId="0">
      <pane ySplit="8" topLeftCell="A9" activePane="bottomLeft" state="frozen"/>
      <selection pane="bottomLeft" activeCell="E6" sqref="E6"/>
    </sheetView>
  </sheetViews>
  <sheetFormatPr baseColWidth="10" defaultRowHeight="14.25" x14ac:dyDescent="0.2"/>
  <cols>
    <col min="1" max="1" width="20.85546875" style="2" customWidth="1"/>
    <col min="2" max="2" width="20" style="1" bestFit="1" customWidth="1"/>
    <col min="3" max="3" width="9.28515625" style="25" customWidth="1"/>
    <col min="4" max="4" width="38.42578125" style="1" customWidth="1"/>
    <col min="5" max="5" width="18.42578125" style="1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25" customWidth="1"/>
    <col min="11" max="11" width="23.42578125" style="2" customWidth="1"/>
    <col min="12" max="12" width="36.28515625" style="1" customWidth="1"/>
    <col min="13" max="16384" width="11.42578125" style="1"/>
  </cols>
  <sheetData>
    <row r="1" spans="1:12" ht="19.5" x14ac:dyDescent="0.3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</row>
    <row r="2" spans="1:12" ht="19.5" x14ac:dyDescent="0.3">
      <c r="A2" s="12"/>
      <c r="B2" s="12"/>
      <c r="C2" s="22"/>
      <c r="D2" s="12"/>
      <c r="E2" s="12"/>
      <c r="F2" s="12"/>
      <c r="G2" s="12"/>
      <c r="H2" s="12"/>
      <c r="I2" s="12"/>
      <c r="J2" s="22"/>
      <c r="K2" s="26"/>
      <c r="L2" s="12"/>
    </row>
    <row r="3" spans="1:12" ht="19.5" x14ac:dyDescent="0.3">
      <c r="A3" s="12"/>
      <c r="B3" s="12"/>
      <c r="C3" s="22"/>
      <c r="D3" s="12"/>
      <c r="E3" s="12"/>
      <c r="F3" s="12"/>
      <c r="G3" s="27"/>
      <c r="H3" s="66"/>
      <c r="I3" s="66"/>
      <c r="J3" s="22"/>
      <c r="K3" s="26"/>
      <c r="L3" s="12"/>
    </row>
    <row r="4" spans="1:12" ht="19.5" x14ac:dyDescent="0.3">
      <c r="A4" s="12"/>
      <c r="B4" s="12"/>
      <c r="C4" s="22"/>
      <c r="D4" s="12"/>
      <c r="E4" s="12"/>
      <c r="F4" s="12"/>
      <c r="G4" s="12"/>
      <c r="H4" s="12"/>
      <c r="I4" s="12"/>
      <c r="J4" s="22"/>
      <c r="K4" s="26"/>
      <c r="L4" s="12"/>
    </row>
    <row r="5" spans="1:12" ht="20.25" thickBot="1" x14ac:dyDescent="0.35">
      <c r="A5" s="12"/>
      <c r="B5" s="12"/>
      <c r="C5" s="22"/>
      <c r="D5" s="12"/>
      <c r="E5" s="12"/>
      <c r="F5" s="12"/>
      <c r="G5" s="12"/>
      <c r="H5" s="12"/>
      <c r="I5" s="12"/>
      <c r="J5" s="22"/>
      <c r="K5" s="26"/>
      <c r="L5" s="12"/>
    </row>
    <row r="6" spans="1:12" ht="15.75" thickBot="1" x14ac:dyDescent="0.3">
      <c r="A6" s="10" t="s">
        <v>2</v>
      </c>
      <c r="B6" s="18">
        <f ca="1">NOW()</f>
        <v>44379.436656481485</v>
      </c>
      <c r="C6" s="77" t="s">
        <v>34</v>
      </c>
      <c r="D6" s="78"/>
      <c r="E6" s="47"/>
      <c r="F6" s="11" t="s">
        <v>35</v>
      </c>
      <c r="G6" s="13" t="s">
        <v>1</v>
      </c>
      <c r="H6" s="81" t="s">
        <v>3</v>
      </c>
      <c r="I6" s="82"/>
      <c r="J6" s="79" t="s">
        <v>31</v>
      </c>
      <c r="K6" s="80"/>
      <c r="L6" s="8"/>
    </row>
    <row r="7" spans="1:12" s="8" customFormat="1" ht="15" thickBot="1" x14ac:dyDescent="0.25">
      <c r="A7" s="9"/>
      <c r="C7" s="23"/>
      <c r="J7" s="23"/>
      <c r="K7" s="9"/>
    </row>
    <row r="8" spans="1:12" ht="33.75" customHeight="1" thickBot="1" x14ac:dyDescent="0.25">
      <c r="A8" s="30" t="s">
        <v>4</v>
      </c>
      <c r="B8" s="31" t="s">
        <v>5</v>
      </c>
      <c r="C8" s="32" t="s">
        <v>289</v>
      </c>
      <c r="D8" s="33" t="s">
        <v>36</v>
      </c>
      <c r="E8" s="34" t="s">
        <v>6</v>
      </c>
      <c r="F8" s="31" t="s">
        <v>7</v>
      </c>
      <c r="G8" s="31" t="s">
        <v>8</v>
      </c>
      <c r="H8" s="31" t="s">
        <v>9</v>
      </c>
      <c r="I8" s="35" t="s">
        <v>270</v>
      </c>
      <c r="J8" s="33" t="s">
        <v>290</v>
      </c>
      <c r="K8" s="33" t="s">
        <v>291</v>
      </c>
      <c r="L8" s="36" t="s">
        <v>10</v>
      </c>
    </row>
    <row r="9" spans="1:12" ht="16.5" customHeight="1" x14ac:dyDescent="0.2">
      <c r="A9" s="43" t="s">
        <v>11</v>
      </c>
      <c r="B9" s="19" t="s">
        <v>12</v>
      </c>
      <c r="C9" s="57">
        <v>129</v>
      </c>
      <c r="D9" s="19" t="str">
        <f>IFERROR(VLOOKUP(C9,DATOS!$E$2:$F$200,2,FALSE),"Sin Datos")</f>
        <v>RODRIGUEZ FERNANDEZ RUBEN DARIO</v>
      </c>
      <c r="E9" s="57">
        <v>1004525</v>
      </c>
      <c r="F9" s="51">
        <v>800</v>
      </c>
      <c r="G9" s="51">
        <v>35</v>
      </c>
      <c r="H9" s="51">
        <v>80</v>
      </c>
      <c r="I9" s="28"/>
      <c r="J9" s="17"/>
      <c r="K9" s="19" t="str">
        <f>IFERROR(VLOOKUP(J9,DATOS!$J$65:$K$68,2,FALSE),"SIN PARO")</f>
        <v>SIN PARO</v>
      </c>
      <c r="L9" s="4"/>
    </row>
    <row r="10" spans="1:12" ht="16.5" customHeight="1" x14ac:dyDescent="0.2">
      <c r="A10" s="44" t="s">
        <v>11</v>
      </c>
      <c r="B10" s="20" t="s">
        <v>12</v>
      </c>
      <c r="C10" s="58"/>
      <c r="D10" s="20" t="str">
        <f>IFERROR(VLOOKUP(C10,DATOS!$E$2:$F$200,2,FALSE),"Sin Datos")</f>
        <v>Sin Datos</v>
      </c>
      <c r="E10" s="58"/>
      <c r="F10" s="52"/>
      <c r="G10" s="52"/>
      <c r="H10" s="52"/>
      <c r="I10" s="29"/>
      <c r="J10" s="24"/>
      <c r="K10" s="20" t="str">
        <f>IFERROR(VLOOKUP(J10,DATOS!$J$65:$K$68,2,FALSE),"SIN PARO")</f>
        <v>SIN PARO</v>
      </c>
      <c r="L10" s="6"/>
    </row>
    <row r="11" spans="1:12" ht="16.5" customHeight="1" x14ac:dyDescent="0.2">
      <c r="A11" s="44" t="s">
        <v>11</v>
      </c>
      <c r="B11" s="20" t="s">
        <v>13</v>
      </c>
      <c r="C11" s="58">
        <v>129</v>
      </c>
      <c r="D11" s="20" t="str">
        <f>IFERROR(VLOOKUP(C11,DATOS!$E$2:$F$200,2,FALSE),"Sin Datos")</f>
        <v>RODRIGUEZ FERNANDEZ RUBEN DARIO</v>
      </c>
      <c r="E11" s="58" t="s">
        <v>284</v>
      </c>
      <c r="F11" s="52">
        <v>700</v>
      </c>
      <c r="G11" s="52">
        <v>50</v>
      </c>
      <c r="H11" s="52">
        <v>0</v>
      </c>
      <c r="I11" s="29"/>
      <c r="J11" s="24"/>
      <c r="K11" s="20" t="str">
        <f>IFERROR(VLOOKUP(J11,DATOS!$J$65:$K$68,2,FALSE),"SIN PARO")</f>
        <v>SIN PARO</v>
      </c>
      <c r="L11" s="6"/>
    </row>
    <row r="12" spans="1:12" ht="16.5" customHeight="1" thickBot="1" x14ac:dyDescent="0.25">
      <c r="A12" s="45" t="s">
        <v>11</v>
      </c>
      <c r="B12" s="21" t="s">
        <v>13</v>
      </c>
      <c r="C12" s="59"/>
      <c r="D12" s="21" t="str">
        <f>IFERROR(VLOOKUP(C12,DATOS!$E$2:$F$200,2,FALSE),"Sin Datos")</f>
        <v>Sin Datos</v>
      </c>
      <c r="E12" s="59"/>
      <c r="F12" s="53"/>
      <c r="G12" s="53"/>
      <c r="H12" s="53"/>
      <c r="I12" s="38"/>
      <c r="J12" s="37"/>
      <c r="K12" s="21" t="str">
        <f>IFERROR(VLOOKUP(J12,DATOS!$J$65:$K$68,2,FALSE),"SIN PARO")</f>
        <v>SIN PARO</v>
      </c>
      <c r="L12" s="5"/>
    </row>
    <row r="13" spans="1:12" ht="15" x14ac:dyDescent="0.2">
      <c r="A13" s="48" t="s">
        <v>294</v>
      </c>
      <c r="B13" s="19" t="s">
        <v>14</v>
      </c>
      <c r="C13" s="57">
        <v>84</v>
      </c>
      <c r="D13" s="19" t="str">
        <f>IFERROR(VLOOKUP(C13,DATOS!$E$2:$F$200,2,FALSE),"Sin Datos")</f>
        <v>MAHECHA ESPITIA JUAN DAVID</v>
      </c>
      <c r="E13" s="58" t="s">
        <v>284</v>
      </c>
      <c r="F13" s="51">
        <v>624</v>
      </c>
      <c r="G13" s="51">
        <v>0</v>
      </c>
      <c r="H13" s="51">
        <v>3</v>
      </c>
      <c r="I13" s="39"/>
      <c r="J13" s="17"/>
      <c r="K13" s="19" t="str">
        <f>IFERROR(VLOOKUP(J13,DATOS!$J$65:$K$68,2,FALSE),"SIN PARO")</f>
        <v>SIN PARO</v>
      </c>
      <c r="L13" s="4"/>
    </row>
    <row r="14" spans="1:12" ht="15" x14ac:dyDescent="0.2">
      <c r="A14" s="49" t="s">
        <v>294</v>
      </c>
      <c r="B14" s="20" t="s">
        <v>14</v>
      </c>
      <c r="C14" s="58"/>
      <c r="D14" s="20" t="str">
        <f>IFERROR(VLOOKUP(C14,DATOS!$E$2:$F$200,2,FALSE),"Sin Datos")</f>
        <v>Sin Datos</v>
      </c>
      <c r="E14" s="58"/>
      <c r="F14" s="52"/>
      <c r="G14" s="52"/>
      <c r="H14" s="52"/>
      <c r="I14" s="29"/>
      <c r="J14" s="24"/>
      <c r="K14" s="20" t="str">
        <f>IFERROR(VLOOKUP(J14,DATOS!$J$65:$K$68,2,FALSE),"SIN PARO")</f>
        <v>SIN PARO</v>
      </c>
      <c r="L14" s="6"/>
    </row>
    <row r="15" spans="1:12" ht="15" x14ac:dyDescent="0.2">
      <c r="A15" s="50" t="s">
        <v>294</v>
      </c>
      <c r="B15" s="20" t="s">
        <v>15</v>
      </c>
      <c r="C15" s="58">
        <v>75</v>
      </c>
      <c r="D15" s="20" t="str">
        <f>IFERROR(VLOOKUP(C15,DATOS!$E$2:$F$200,2,FALSE),"Sin Datos")</f>
        <v>HERRERA SANABRIA JOSE ALEXANDER</v>
      </c>
      <c r="E15" s="58">
        <v>1004525</v>
      </c>
      <c r="F15" s="52">
        <v>940</v>
      </c>
      <c r="G15" s="52">
        <v>0</v>
      </c>
      <c r="H15" s="52">
        <v>1</v>
      </c>
      <c r="I15" s="29"/>
      <c r="J15" s="24" t="s">
        <v>307</v>
      </c>
      <c r="K15" s="20" t="str">
        <f>IFERROR(VLOOKUP(J15,DATOS!$J$65:$K$68,2,FALSE),"SIN PARO")</f>
        <v>OTROS</v>
      </c>
      <c r="L15" s="6" t="s">
        <v>325</v>
      </c>
    </row>
    <row r="16" spans="1:12" ht="15" x14ac:dyDescent="0.2">
      <c r="A16" s="50" t="s">
        <v>294</v>
      </c>
      <c r="B16" s="20" t="s">
        <v>15</v>
      </c>
      <c r="C16" s="58"/>
      <c r="D16" s="20" t="str">
        <f>IFERROR(VLOOKUP(C16,DATOS!$E$2:$F$200,2,FALSE),"Sin Datos")</f>
        <v>Sin Datos</v>
      </c>
      <c r="E16" s="58"/>
      <c r="F16" s="52"/>
      <c r="G16" s="52"/>
      <c r="H16" s="52"/>
      <c r="I16" s="29"/>
      <c r="J16" s="24"/>
      <c r="K16" s="20" t="str">
        <f>IFERROR(VLOOKUP(J16,DATOS!$J$65:$K$68,2,FALSE),"SIN PARO")</f>
        <v>SIN PARO</v>
      </c>
      <c r="L16" s="6"/>
    </row>
    <row r="17" spans="1:12" ht="15" x14ac:dyDescent="0.2">
      <c r="A17" s="44" t="s">
        <v>294</v>
      </c>
      <c r="B17" s="20" t="s">
        <v>16</v>
      </c>
      <c r="C17" s="58">
        <v>67</v>
      </c>
      <c r="D17" s="20" t="str">
        <f>IFERROR(VLOOKUP(C17,DATOS!$E$2:$F$200,2,FALSE),"Sin Datos")</f>
        <v>GONZALEZ PINILLA JAVIER ORLANDO</v>
      </c>
      <c r="E17" s="58">
        <v>1008912</v>
      </c>
      <c r="F17" s="52">
        <v>400</v>
      </c>
      <c r="G17" s="52"/>
      <c r="H17" s="52">
        <v>2</v>
      </c>
      <c r="I17" s="29"/>
      <c r="J17" s="24"/>
      <c r="K17" s="20" t="str">
        <f>IFERROR(VLOOKUP(J17,DATOS!$J$65:$K$68,2,FALSE),"SIN PARO")</f>
        <v>SIN PARO</v>
      </c>
      <c r="L17" s="6"/>
    </row>
    <row r="18" spans="1:12" ht="15.75" thickBot="1" x14ac:dyDescent="0.25">
      <c r="A18" s="44" t="s">
        <v>294</v>
      </c>
      <c r="B18" s="21" t="s">
        <v>16</v>
      </c>
      <c r="C18" s="59">
        <v>67</v>
      </c>
      <c r="D18" s="21" t="str">
        <f>IFERROR(VLOOKUP(C18,DATOS!$E$2:$F$200,2,FALSE),"Sin Datos")</f>
        <v>GONZALEZ PINILLA JAVIER ORLANDO</v>
      </c>
      <c r="E18" s="59">
        <v>1007955</v>
      </c>
      <c r="F18" s="53">
        <v>400</v>
      </c>
      <c r="G18" s="53"/>
      <c r="H18" s="53">
        <v>0</v>
      </c>
      <c r="I18" s="38"/>
      <c r="J18" s="37"/>
      <c r="K18" s="21" t="str">
        <f>IFERROR(VLOOKUP(J18,DATOS!$J$65:$K$68,2,FALSE),"SIN PARO")</f>
        <v>SIN PARO</v>
      </c>
      <c r="L18" s="5"/>
    </row>
    <row r="19" spans="1:12" ht="16.5" customHeight="1" x14ac:dyDescent="0.2">
      <c r="A19" s="43" t="s">
        <v>17</v>
      </c>
      <c r="B19" s="19" t="s">
        <v>18</v>
      </c>
      <c r="C19" s="57">
        <v>128</v>
      </c>
      <c r="D19" s="19" t="str">
        <f>IFERROR(VLOOKUP(C19,DATOS!$E$2:$F$200,2,FALSE),"Sin Datos")</f>
        <v>ROCHA MARIN CRISTIAN DARIO</v>
      </c>
      <c r="E19" s="57" t="s">
        <v>284</v>
      </c>
      <c r="F19" s="51">
        <v>442</v>
      </c>
      <c r="G19" s="51">
        <v>1</v>
      </c>
      <c r="H19" s="51">
        <v>42</v>
      </c>
      <c r="I19" s="39"/>
      <c r="J19" s="24"/>
      <c r="K19" s="19" t="str">
        <f>IFERROR(VLOOKUP(J19,DATOS!$J$65:$K$68,2,FALSE),"SIN PARO")</f>
        <v>SIN PARO</v>
      </c>
      <c r="L19" s="4"/>
    </row>
    <row r="20" spans="1:12" ht="16.5" customHeight="1" x14ac:dyDescent="0.2">
      <c r="A20" s="44" t="s">
        <v>17</v>
      </c>
      <c r="B20" s="20" t="s">
        <v>18</v>
      </c>
      <c r="C20" s="58"/>
      <c r="D20" s="20" t="str">
        <f>IFERROR(VLOOKUP(C20,DATOS!$E$2:$F$200,2,FALSE),"Sin Datos")</f>
        <v>Sin Datos</v>
      </c>
      <c r="E20" s="58"/>
      <c r="F20" s="52"/>
      <c r="G20" s="52"/>
      <c r="H20" s="52"/>
      <c r="I20" s="29"/>
      <c r="J20" s="24"/>
      <c r="K20" s="20" t="str">
        <f>IFERROR(VLOOKUP(J20,DATOS!$J$65:$K$68,2,FALSE),"SIN PARO")</f>
        <v>SIN PARO</v>
      </c>
      <c r="L20" s="6"/>
    </row>
    <row r="21" spans="1:12" ht="16.5" customHeight="1" x14ac:dyDescent="0.2">
      <c r="A21" s="44" t="s">
        <v>17</v>
      </c>
      <c r="B21" s="20" t="s">
        <v>19</v>
      </c>
      <c r="C21" s="58">
        <v>7</v>
      </c>
      <c r="D21" s="20" t="str">
        <f>IFERROR(VLOOKUP(C21,DATOS!$E$2:$F$200,2,FALSE),"Sin Datos")</f>
        <v>ALVARADO MENDOZA CRISTIAN IVAN</v>
      </c>
      <c r="E21" s="58">
        <v>1004525</v>
      </c>
      <c r="F21" s="52">
        <v>377</v>
      </c>
      <c r="G21" s="52">
        <v>4</v>
      </c>
      <c r="H21" s="52">
        <v>7</v>
      </c>
      <c r="I21" s="29"/>
      <c r="J21" s="24"/>
      <c r="K21" s="20" t="str">
        <f>IFERROR(VLOOKUP(J21,DATOS!$J$65:$K$68,2,FALSE),"SIN PARO")</f>
        <v>SIN PARO</v>
      </c>
      <c r="L21" s="6"/>
    </row>
    <row r="22" spans="1:12" ht="16.5" customHeight="1" x14ac:dyDescent="0.2">
      <c r="A22" s="44" t="s">
        <v>17</v>
      </c>
      <c r="B22" s="20" t="s">
        <v>19</v>
      </c>
      <c r="C22" s="58"/>
      <c r="D22" s="20" t="str">
        <f>IFERROR(VLOOKUP(C22,DATOS!$E$2:$F$200,2,FALSE),"Sin Datos")</f>
        <v>Sin Datos</v>
      </c>
      <c r="E22" s="58"/>
      <c r="F22" s="52"/>
      <c r="G22" s="52"/>
      <c r="H22" s="52"/>
      <c r="I22" s="29"/>
      <c r="J22" s="24"/>
      <c r="K22" s="20" t="str">
        <f>IFERROR(VLOOKUP(J22,DATOS!$J$65:$K$68,2,FALSE),"SIN PARO")</f>
        <v>SIN PARO</v>
      </c>
      <c r="L22" s="6"/>
    </row>
    <row r="23" spans="1:12" ht="16.5" customHeight="1" x14ac:dyDescent="0.2">
      <c r="A23" s="44" t="s">
        <v>17</v>
      </c>
      <c r="B23" s="20" t="s">
        <v>20</v>
      </c>
      <c r="C23" s="58">
        <v>148</v>
      </c>
      <c r="D23" s="20" t="str">
        <f>IFERROR(VLOOKUP(C23,DATOS!$E$2:$F$200,2,FALSE),"Sin Datos")</f>
        <v>SUAREZ MACIAS DIEGO ANDRES</v>
      </c>
      <c r="E23" s="58">
        <v>1007955</v>
      </c>
      <c r="F23" s="52">
        <v>365</v>
      </c>
      <c r="G23" s="52">
        <v>0</v>
      </c>
      <c r="H23" s="52">
        <v>4</v>
      </c>
      <c r="I23" s="29"/>
      <c r="J23" s="24"/>
      <c r="K23" s="20" t="str">
        <f>IFERROR(VLOOKUP(J23,DATOS!$J$65:$K$68,2,FALSE),"SIN PARO")</f>
        <v>SIN PARO</v>
      </c>
      <c r="L23" s="6"/>
    </row>
    <row r="24" spans="1:12" ht="16.5" customHeight="1" x14ac:dyDescent="0.2">
      <c r="A24" s="44" t="s">
        <v>17</v>
      </c>
      <c r="B24" s="20" t="s">
        <v>20</v>
      </c>
      <c r="C24" s="58"/>
      <c r="D24" s="20" t="str">
        <f>IFERROR(VLOOKUP(C24,DATOS!$E$2:$F$200,2,FALSE),"Sin Datos")</f>
        <v>Sin Datos</v>
      </c>
      <c r="E24" s="58"/>
      <c r="F24" s="52"/>
      <c r="G24" s="52"/>
      <c r="H24" s="52"/>
      <c r="I24" s="29"/>
      <c r="J24" s="24"/>
      <c r="K24" s="20" t="str">
        <f>IFERROR(VLOOKUP(J24,DATOS!$J$65:$K$68,2,FALSE),"SIN PARO")</f>
        <v>SIN PARO</v>
      </c>
      <c r="L24" s="6"/>
    </row>
    <row r="25" spans="1:12" ht="16.5" customHeight="1" x14ac:dyDescent="0.2">
      <c r="A25" s="44" t="s">
        <v>17</v>
      </c>
      <c r="B25" s="20" t="s">
        <v>21</v>
      </c>
      <c r="C25" s="58"/>
      <c r="D25" s="20" t="str">
        <f>IFERROR(VLOOKUP(C25,DATOS!$E$2:$F$200,2,FALSE),"Sin Datos")</f>
        <v>Sin Datos</v>
      </c>
      <c r="E25" s="58"/>
      <c r="F25" s="52"/>
      <c r="G25" s="52"/>
      <c r="H25" s="52"/>
      <c r="I25" s="29"/>
      <c r="J25" s="24"/>
      <c r="K25" s="20" t="str">
        <f>IFERROR(VLOOKUP(J25,DATOS!$J$65:$K$68,2,FALSE),"SIN PARO")</f>
        <v>SIN PARO</v>
      </c>
      <c r="L25" s="6"/>
    </row>
    <row r="26" spans="1:12" ht="16.5" customHeight="1" x14ac:dyDescent="0.2">
      <c r="A26" s="44" t="s">
        <v>17</v>
      </c>
      <c r="B26" s="20" t="s">
        <v>21</v>
      </c>
      <c r="C26" s="58"/>
      <c r="D26" s="20" t="str">
        <f>IFERROR(VLOOKUP(C26,DATOS!$E$2:$F$200,2,FALSE),"Sin Datos")</f>
        <v>Sin Datos</v>
      </c>
      <c r="E26" s="58"/>
      <c r="F26" s="52"/>
      <c r="G26" s="52"/>
      <c r="H26" s="52"/>
      <c r="I26" s="29"/>
      <c r="J26" s="24"/>
      <c r="K26" s="20" t="str">
        <f>IFERROR(VLOOKUP(J26,DATOS!$J$65:$K$68,2,FALSE),"SIN PARO")</f>
        <v>SIN PARO</v>
      </c>
      <c r="L26" s="6"/>
    </row>
    <row r="27" spans="1:12" ht="16.5" customHeight="1" x14ac:dyDescent="0.2">
      <c r="A27" s="44" t="s">
        <v>17</v>
      </c>
      <c r="B27" s="20" t="s">
        <v>22</v>
      </c>
      <c r="C27" s="58"/>
      <c r="D27" s="20" t="str">
        <f>IFERROR(VLOOKUP(C27,DATOS!$E$2:$F$200,2,FALSE),"Sin Datos")</f>
        <v>Sin Datos</v>
      </c>
      <c r="E27" s="58"/>
      <c r="F27" s="52"/>
      <c r="G27" s="52"/>
      <c r="H27" s="52"/>
      <c r="I27" s="29"/>
      <c r="J27" s="24"/>
      <c r="K27" s="20" t="str">
        <f>IFERROR(VLOOKUP(J27,DATOS!$J$65:$K$68,2,FALSE),"SIN PARO")</f>
        <v>SIN PARO</v>
      </c>
      <c r="L27" s="6"/>
    </row>
    <row r="28" spans="1:12" ht="16.5" customHeight="1" x14ac:dyDescent="0.2">
      <c r="A28" s="44" t="s">
        <v>17</v>
      </c>
      <c r="B28" s="20" t="s">
        <v>22</v>
      </c>
      <c r="C28" s="58"/>
      <c r="D28" s="20" t="str">
        <f>IFERROR(VLOOKUP(C28,DATOS!$E$2:$F$200,2,FALSE),"Sin Datos")</f>
        <v>Sin Datos</v>
      </c>
      <c r="E28" s="58"/>
      <c r="F28" s="52"/>
      <c r="G28" s="52"/>
      <c r="H28" s="52"/>
      <c r="I28" s="29"/>
      <c r="J28" s="24"/>
      <c r="K28" s="20" t="str">
        <f>IFERROR(VLOOKUP(J28,DATOS!$J$65:$K$68,2,FALSE),"SIN PARO")</f>
        <v>SIN PARO</v>
      </c>
      <c r="L28" s="6"/>
    </row>
    <row r="29" spans="1:12" ht="16.5" customHeight="1" x14ac:dyDescent="0.2">
      <c r="A29" s="44" t="s">
        <v>17</v>
      </c>
      <c r="B29" s="20" t="s">
        <v>23</v>
      </c>
      <c r="C29" s="58">
        <v>173</v>
      </c>
      <c r="D29" s="20" t="str">
        <f>IFERROR(VLOOKUP(C29,DATOS!$E$2:$F$200,2,FALSE),"Sin Datos")</f>
        <v xml:space="preserve">VILLAMIZAR CAÑAS FRANCO JOSE </v>
      </c>
      <c r="E29" s="58" t="s">
        <v>284</v>
      </c>
      <c r="F29" s="52">
        <v>365</v>
      </c>
      <c r="G29" s="52">
        <v>0</v>
      </c>
      <c r="H29" s="52">
        <v>15</v>
      </c>
      <c r="I29" s="29"/>
      <c r="J29" s="24"/>
      <c r="K29" s="20" t="str">
        <f>IFERROR(VLOOKUP(J29,DATOS!$J$65:$K$68,2,FALSE),"SIN PARO")</f>
        <v>SIN PARO</v>
      </c>
      <c r="L29" s="6"/>
    </row>
    <row r="30" spans="1:12" ht="16.5" customHeight="1" x14ac:dyDescent="0.2">
      <c r="A30" s="44" t="s">
        <v>17</v>
      </c>
      <c r="B30" s="20" t="s">
        <v>23</v>
      </c>
      <c r="C30" s="58"/>
      <c r="D30" s="20" t="str">
        <f>IFERROR(VLOOKUP(C30,DATOS!$E$2:$F$200,2,FALSE),"Sin Datos")</f>
        <v>Sin Datos</v>
      </c>
      <c r="E30" s="58"/>
      <c r="F30" s="52"/>
      <c r="G30" s="52"/>
      <c r="H30" s="52"/>
      <c r="I30" s="29"/>
      <c r="J30" s="24"/>
      <c r="K30" s="20" t="str">
        <f>IFERROR(VLOOKUP(J30,DATOS!$J$65:$K$68,2,FALSE),"SIN PARO")</f>
        <v>SIN PARO</v>
      </c>
      <c r="L30" s="6"/>
    </row>
    <row r="31" spans="1:12" ht="16.5" customHeight="1" x14ac:dyDescent="0.2">
      <c r="A31" s="44" t="s">
        <v>17</v>
      </c>
      <c r="B31" s="20" t="s">
        <v>293</v>
      </c>
      <c r="C31" s="58"/>
      <c r="D31" s="20" t="str">
        <f>IFERROR(VLOOKUP(C31,DATOS!$E$2:$F$200,2,FALSE),"Sin Datos")</f>
        <v>Sin Datos</v>
      </c>
      <c r="E31" s="58"/>
      <c r="F31" s="52"/>
      <c r="G31" s="52"/>
      <c r="H31" s="52"/>
      <c r="I31" s="29"/>
      <c r="J31" s="24"/>
      <c r="K31" s="20" t="str">
        <f>IFERROR(VLOOKUP(J31,DATOS!$J$65:$K$68,2,FALSE),"SIN PARO")</f>
        <v>SIN PARO</v>
      </c>
      <c r="L31" s="6"/>
    </row>
    <row r="32" spans="1:12" ht="16.5" customHeight="1" thickBot="1" x14ac:dyDescent="0.25">
      <c r="A32" s="45" t="s">
        <v>17</v>
      </c>
      <c r="B32" s="21" t="s">
        <v>293</v>
      </c>
      <c r="C32" s="59"/>
      <c r="D32" s="21" t="str">
        <f>IFERROR(VLOOKUP(C32,DATOS!$E$2:$F$200,2,FALSE),"Sin Datos")</f>
        <v>Sin Datos</v>
      </c>
      <c r="E32" s="59"/>
      <c r="F32" s="53"/>
      <c r="G32" s="53"/>
      <c r="H32" s="53"/>
      <c r="I32" s="38"/>
      <c r="J32" s="37"/>
      <c r="K32" s="21" t="str">
        <f>IFERROR(VLOOKUP(J32,DATOS!$J$65:$K$68,2,FALSE),"SIN PARO")</f>
        <v>SIN PARO</v>
      </c>
      <c r="L32" s="5"/>
    </row>
    <row r="33" spans="1:12" ht="15" x14ac:dyDescent="0.2">
      <c r="A33" s="48" t="s">
        <v>295</v>
      </c>
      <c r="B33" s="19" t="s">
        <v>296</v>
      </c>
      <c r="C33" s="57"/>
      <c r="D33" s="19" t="str">
        <f>IFERROR(VLOOKUP(C33,DATOS!$E$2:$F$200,2,FALSE),"Sin Datos")</f>
        <v>Sin Datos</v>
      </c>
      <c r="E33" s="57"/>
      <c r="F33" s="51"/>
      <c r="G33" s="51"/>
      <c r="H33" s="51"/>
      <c r="I33" s="39"/>
      <c r="J33" s="17"/>
      <c r="K33" s="19" t="str">
        <f>IFERROR(VLOOKUP(J33,DATOS!$J$65:$K$68,2,FALSE),"SIN PARO")</f>
        <v>SIN PARO</v>
      </c>
      <c r="L33" s="4"/>
    </row>
    <row r="34" spans="1:12" ht="15" x14ac:dyDescent="0.2">
      <c r="A34" s="49" t="s">
        <v>295</v>
      </c>
      <c r="B34" s="20" t="s">
        <v>296</v>
      </c>
      <c r="C34" s="58"/>
      <c r="D34" s="20" t="str">
        <f>IFERROR(VLOOKUP(C34,DATOS!$E$2:$F$200,2,FALSE),"Sin Datos")</f>
        <v>Sin Datos</v>
      </c>
      <c r="E34" s="58"/>
      <c r="F34" s="52"/>
      <c r="G34" s="52"/>
      <c r="H34" s="52"/>
      <c r="I34" s="29"/>
      <c r="J34" s="24"/>
      <c r="K34" s="20" t="str">
        <f>IFERROR(VLOOKUP(J34,DATOS!$J$65:$K$68,2,FALSE),"SIN PARO")</f>
        <v>SIN PARO</v>
      </c>
      <c r="L34" s="6"/>
    </row>
    <row r="35" spans="1:12" ht="15" x14ac:dyDescent="0.2">
      <c r="A35" s="50" t="s">
        <v>295</v>
      </c>
      <c r="B35" s="20" t="s">
        <v>297</v>
      </c>
      <c r="C35" s="58"/>
      <c r="D35" s="20" t="str">
        <f>IFERROR(VLOOKUP(C35,DATOS!$E$2:$F$200,2,FALSE),"Sin Datos")</f>
        <v>Sin Datos</v>
      </c>
      <c r="E35" s="58"/>
      <c r="F35" s="52"/>
      <c r="G35" s="52"/>
      <c r="H35" s="52"/>
      <c r="I35" s="29"/>
      <c r="J35" s="24"/>
      <c r="K35" s="20" t="str">
        <f>IFERROR(VLOOKUP(J35,DATOS!$J$65:$K$68,2,FALSE),"SIN PARO")</f>
        <v>SIN PARO</v>
      </c>
      <c r="L35" s="6"/>
    </row>
    <row r="36" spans="1:12" ht="15.75" thickBot="1" x14ac:dyDescent="0.25">
      <c r="A36" s="67" t="s">
        <v>295</v>
      </c>
      <c r="B36" s="68" t="s">
        <v>297</v>
      </c>
      <c r="C36" s="69"/>
      <c r="D36" s="68" t="str">
        <f>IFERROR(VLOOKUP(C36,DATOS!$E$2:$F$200,2,FALSE),"Sin Datos")</f>
        <v>Sin Datos</v>
      </c>
      <c r="E36" s="69"/>
      <c r="F36" s="71"/>
      <c r="G36" s="71"/>
      <c r="H36" s="71"/>
      <c r="I36" s="72"/>
      <c r="J36" s="70"/>
      <c r="K36" s="68" t="str">
        <f>IFERROR(VLOOKUP(J36,DATOS!$J$65:$K$68,2,FALSE),"SIN PARO")</f>
        <v>SIN PARO</v>
      </c>
      <c r="L36" s="73"/>
    </row>
    <row r="37" spans="1:12" ht="15" x14ac:dyDescent="0.2">
      <c r="A37" s="48" t="s">
        <v>41</v>
      </c>
      <c r="B37" s="19" t="s">
        <v>41</v>
      </c>
      <c r="C37" s="57">
        <v>58</v>
      </c>
      <c r="D37" s="19" t="str">
        <f>IFERROR(VLOOKUP(C37,DATOS!$E$2:$F$200,2,FALSE),"Sin Datos")</f>
        <v>GARCIA GARZON YOHN EDISSON</v>
      </c>
      <c r="E37" s="57" t="s">
        <v>284</v>
      </c>
      <c r="F37" s="51">
        <v>55</v>
      </c>
      <c r="G37" s="51">
        <v>0</v>
      </c>
      <c r="H37" s="51"/>
      <c r="I37" s="39">
        <v>65</v>
      </c>
      <c r="J37" s="17" t="s">
        <v>307</v>
      </c>
      <c r="K37" s="19" t="str">
        <f>IFERROR(VLOOKUP(J37,DATOS!$J$65:$K$68,2,FALSE),"SIN PARO")</f>
        <v>OTROS</v>
      </c>
      <c r="L37" s="4" t="s">
        <v>326</v>
      </c>
    </row>
    <row r="38" spans="1:12" ht="15.75" thickBot="1" x14ac:dyDescent="0.25">
      <c r="A38" s="74" t="s">
        <v>41</v>
      </c>
      <c r="B38" s="21" t="s">
        <v>41</v>
      </c>
      <c r="C38" s="59">
        <v>58</v>
      </c>
      <c r="D38" s="21" t="str">
        <f>IFERROR(VLOOKUP(C38,DATOS!$E$2:$F$200,2,FALSE),"Sin Datos")</f>
        <v>GARCIA GARZON YOHN EDISSON</v>
      </c>
      <c r="E38" s="59">
        <v>1004525</v>
      </c>
      <c r="F38" s="53">
        <v>7</v>
      </c>
      <c r="G38" s="53">
        <v>0</v>
      </c>
      <c r="H38" s="53"/>
      <c r="I38" s="38"/>
      <c r="J38" s="37"/>
      <c r="K38" s="21" t="str">
        <f>IFERROR(VLOOKUP(J38,DATOS!$J$65:$K$68,2,FALSE),"SIN PARO")</f>
        <v>SIN PARO</v>
      </c>
      <c r="L38" s="5"/>
    </row>
    <row r="39" spans="1:12" ht="16.5" customHeight="1" thickBot="1" x14ac:dyDescent="0.25">
      <c r="A39" s="48" t="s">
        <v>45</v>
      </c>
      <c r="B39" s="19" t="s">
        <v>45</v>
      </c>
      <c r="C39" s="57">
        <v>154</v>
      </c>
      <c r="D39" s="19" t="str">
        <f>IFERROR(VLOOKUP(C39,DATOS!$E$2:$F$200,2,FALSE),"Sin Datos")</f>
        <v>USECHE SALAZAR MAICOL ESTIVER</v>
      </c>
      <c r="E39" s="57" t="s">
        <v>284</v>
      </c>
      <c r="F39" s="51">
        <v>326</v>
      </c>
      <c r="G39" s="51">
        <v>1</v>
      </c>
      <c r="H39" s="51"/>
      <c r="I39" s="39"/>
      <c r="J39" s="17"/>
      <c r="K39" s="19" t="str">
        <f>IFERROR(VLOOKUP(J39,DATOS!$J$65:$K$68,2,FALSE),"SIN PARO")</f>
        <v>SIN PARO</v>
      </c>
      <c r="L39" s="4"/>
    </row>
    <row r="40" spans="1:12" ht="21.75" customHeight="1" x14ac:dyDescent="0.2">
      <c r="A40" s="49" t="s">
        <v>45</v>
      </c>
      <c r="B40" s="20" t="s">
        <v>45</v>
      </c>
      <c r="C40" s="58">
        <v>82</v>
      </c>
      <c r="D40" s="20" t="str">
        <f>IFERROR(VLOOKUP(C40,DATOS!$E$2:$F$200,2,FALSE),"Sin Datos")</f>
        <v>LEON ROJAS JOHAN ALEXANDER</v>
      </c>
      <c r="E40" s="57" t="s">
        <v>284</v>
      </c>
      <c r="F40" s="52">
        <v>326</v>
      </c>
      <c r="G40" s="52"/>
      <c r="H40" s="52"/>
      <c r="I40" s="29"/>
      <c r="J40" s="24"/>
      <c r="K40" s="20" t="str">
        <f>IFERROR(VLOOKUP(J40,DATOS!$J$65:$K$68,2,FALSE),"SIN PARO")</f>
        <v>SIN PARO</v>
      </c>
      <c r="L40" s="6"/>
    </row>
    <row r="41" spans="1:12" ht="15.75" customHeight="1" x14ac:dyDescent="0.2">
      <c r="A41" s="50" t="s">
        <v>45</v>
      </c>
      <c r="B41" s="20" t="s">
        <v>45</v>
      </c>
      <c r="C41" s="58">
        <v>154</v>
      </c>
      <c r="D41" s="20" t="str">
        <f>IFERROR(VLOOKUP(C41,DATOS!$E$2:$F$200,2,FALSE),"Sin Datos")</f>
        <v>USECHE SALAZAR MAICOL ESTIVER</v>
      </c>
      <c r="E41" s="58">
        <v>1007955</v>
      </c>
      <c r="F41" s="52">
        <v>132</v>
      </c>
      <c r="G41" s="52"/>
      <c r="H41" s="52"/>
      <c r="I41" s="29"/>
      <c r="J41" s="24"/>
      <c r="K41" s="20" t="str">
        <f>IFERROR(VLOOKUP(J41,DATOS!$J$65:$K$68,2,FALSE),"SIN PARO")</f>
        <v>SIN PARO</v>
      </c>
      <c r="L41" s="6"/>
    </row>
    <row r="42" spans="1:12" ht="16.5" customHeight="1" x14ac:dyDescent="0.2">
      <c r="A42" s="49" t="s">
        <v>45</v>
      </c>
      <c r="B42" s="20" t="s">
        <v>45</v>
      </c>
      <c r="C42" s="58">
        <v>82</v>
      </c>
      <c r="D42" s="20" t="str">
        <f>IFERROR(VLOOKUP(C42,DATOS!$E$2:$F$200,2,FALSE),"Sin Datos")</f>
        <v>LEON ROJAS JOHAN ALEXANDER</v>
      </c>
      <c r="E42" s="58">
        <v>1007955</v>
      </c>
      <c r="F42" s="52">
        <v>133</v>
      </c>
      <c r="G42" s="52"/>
      <c r="H42" s="52"/>
      <c r="I42" s="29"/>
      <c r="J42" s="24"/>
      <c r="K42" s="20" t="str">
        <f>IFERROR(VLOOKUP(J42,DATOS!$J$65:$K$68,2,FALSE),"SIN PARO")</f>
        <v>SIN PARO</v>
      </c>
      <c r="L42" s="6"/>
    </row>
    <row r="43" spans="1:12" ht="21.75" customHeight="1" x14ac:dyDescent="0.2">
      <c r="A43" s="50" t="s">
        <v>45</v>
      </c>
      <c r="B43" s="20" t="s">
        <v>45</v>
      </c>
      <c r="C43" s="58"/>
      <c r="D43" s="20" t="str">
        <f>IFERROR(VLOOKUP(C43,DATOS!$E$2:$F$200,2,FALSE),"Sin Datos")</f>
        <v>Sin Datos</v>
      </c>
      <c r="E43" s="58"/>
      <c r="F43" s="52"/>
      <c r="G43" s="52"/>
      <c r="H43" s="52"/>
      <c r="I43" s="29"/>
      <c r="J43" s="24"/>
      <c r="K43" s="20" t="str">
        <f>IFERROR(VLOOKUP(J43,DATOS!$J$65:$K$68,2,FALSE),"SIN PARO")</f>
        <v>SIN PARO</v>
      </c>
      <c r="L43" s="6"/>
    </row>
    <row r="44" spans="1:12" ht="15.75" customHeight="1" x14ac:dyDescent="0.2">
      <c r="A44" s="49" t="s">
        <v>45</v>
      </c>
      <c r="B44" s="20" t="s">
        <v>45</v>
      </c>
      <c r="C44" s="58"/>
      <c r="D44" s="20" t="str">
        <f>IFERROR(VLOOKUP(C44,DATOS!$E$2:$F$200,2,FALSE),"Sin Datos")</f>
        <v>Sin Datos</v>
      </c>
      <c r="E44" s="58"/>
      <c r="F44" s="52"/>
      <c r="G44" s="52"/>
      <c r="H44" s="52"/>
      <c r="I44" s="29"/>
      <c r="J44" s="24"/>
      <c r="K44" s="20" t="str">
        <f>IFERROR(VLOOKUP(J44,DATOS!$J$65:$K$68,2,FALSE),"SIN PARO")</f>
        <v>SIN PARO</v>
      </c>
      <c r="L44" s="6"/>
    </row>
    <row r="45" spans="1:12" ht="16.5" customHeight="1" x14ac:dyDescent="0.2">
      <c r="A45" s="50" t="s">
        <v>45</v>
      </c>
      <c r="B45" s="20" t="s">
        <v>45</v>
      </c>
      <c r="C45" s="58"/>
      <c r="D45" s="20" t="str">
        <f>IFERROR(VLOOKUP(C45,DATOS!$E$2:$F$200,2,FALSE),"Sin Datos")</f>
        <v>Sin Datos</v>
      </c>
      <c r="E45" s="58"/>
      <c r="F45" s="52"/>
      <c r="G45" s="52"/>
      <c r="H45" s="52"/>
      <c r="I45" s="29"/>
      <c r="J45" s="24"/>
      <c r="K45" s="20" t="str">
        <f>IFERROR(VLOOKUP(J45,DATOS!$J$65:$K$68,2,FALSE),"SIN PARO")</f>
        <v>SIN PARO</v>
      </c>
      <c r="L45" s="6"/>
    </row>
    <row r="46" spans="1:12" ht="21.75" customHeight="1" x14ac:dyDescent="0.2">
      <c r="A46" s="49" t="s">
        <v>45</v>
      </c>
      <c r="B46" s="20" t="s">
        <v>45</v>
      </c>
      <c r="C46" s="58"/>
      <c r="D46" s="20" t="str">
        <f>IFERROR(VLOOKUP(C46,DATOS!$E$2:$F$200,2,FALSE),"Sin Datos")</f>
        <v>Sin Datos</v>
      </c>
      <c r="E46" s="58"/>
      <c r="F46" s="52"/>
      <c r="G46" s="52"/>
      <c r="H46" s="52"/>
      <c r="I46" s="29"/>
      <c r="J46" s="24"/>
      <c r="K46" s="20" t="str">
        <f>IFERROR(VLOOKUP(J46,DATOS!$J$65:$K$68,2,FALSE),"SIN PARO")</f>
        <v>SIN PARO</v>
      </c>
      <c r="L46" s="6"/>
    </row>
    <row r="47" spans="1:12" ht="15.75" customHeight="1" x14ac:dyDescent="0.2">
      <c r="A47" s="50" t="s">
        <v>45</v>
      </c>
      <c r="B47" s="20" t="s">
        <v>45</v>
      </c>
      <c r="C47" s="58"/>
      <c r="D47" s="20" t="str">
        <f>IFERROR(VLOOKUP(C47,DATOS!$E$2:$F$200,2,FALSE),"Sin Datos")</f>
        <v>Sin Datos</v>
      </c>
      <c r="E47" s="58"/>
      <c r="F47" s="52"/>
      <c r="G47" s="52"/>
      <c r="H47" s="52"/>
      <c r="I47" s="29"/>
      <c r="J47" s="24"/>
      <c r="K47" s="20" t="str">
        <f>IFERROR(VLOOKUP(J47,DATOS!$J$65:$K$68,2,FALSE),"SIN PARO")</f>
        <v>SIN PARO</v>
      </c>
      <c r="L47" s="6"/>
    </row>
    <row r="48" spans="1:12" ht="16.5" customHeight="1" thickBot="1" x14ac:dyDescent="0.25">
      <c r="A48" s="44" t="s">
        <v>45</v>
      </c>
      <c r="B48" s="21" t="s">
        <v>45</v>
      </c>
      <c r="C48" s="59"/>
      <c r="D48" s="21" t="str">
        <f>IFERROR(VLOOKUP(C48,DATOS!$E$2:$F$200,2,FALSE),"Sin Datos")</f>
        <v>Sin Datos</v>
      </c>
      <c r="E48" s="58"/>
      <c r="F48" s="53"/>
      <c r="G48" s="53"/>
      <c r="H48" s="53"/>
      <c r="I48" s="38"/>
      <c r="J48" s="37"/>
      <c r="K48" s="21" t="str">
        <f>IFERROR(VLOOKUP(J48,DATOS!$J$65:$K$68,2,FALSE),"SIN PARO")</f>
        <v>SIN PARO</v>
      </c>
      <c r="L48" s="5"/>
    </row>
    <row r="49" spans="1:12" ht="16.5" customHeight="1" thickBot="1" x14ac:dyDescent="0.25">
      <c r="A49" s="46" t="s">
        <v>42</v>
      </c>
      <c r="B49" s="40" t="s">
        <v>42</v>
      </c>
      <c r="C49" s="60"/>
      <c r="D49" s="40" t="str">
        <f>IFERROR(VLOOKUP(C49,DATOS!$E$2:$F$200,2,FALSE),"Sin Datos")</f>
        <v>Sin Datos</v>
      </c>
      <c r="E49" s="60"/>
      <c r="F49" s="54"/>
      <c r="G49" s="54"/>
      <c r="H49" s="54"/>
      <c r="I49" s="42"/>
      <c r="J49" s="41"/>
      <c r="K49" s="40" t="str">
        <f>IFERROR(VLOOKUP(J49,DATOS!$J$65:$K$68,2,FALSE),"SIN PARO")</f>
        <v>SIN PARO</v>
      </c>
      <c r="L49" s="7"/>
    </row>
    <row r="50" spans="1:12" ht="16.5" customHeight="1" x14ac:dyDescent="0.2">
      <c r="A50" s="49" t="s">
        <v>43</v>
      </c>
      <c r="B50" s="20" t="s">
        <v>301</v>
      </c>
      <c r="C50" s="58"/>
      <c r="D50" s="20" t="str">
        <f>IFERROR(VLOOKUP(C50,DATOS!$E$2:$F$200,2,FALSE),"Sin Datos")</f>
        <v>Sin Datos</v>
      </c>
      <c r="E50" s="58"/>
      <c r="F50" s="52"/>
      <c r="G50" s="52"/>
      <c r="H50" s="52"/>
      <c r="I50" s="29"/>
      <c r="J50" s="24"/>
      <c r="K50" s="20" t="str">
        <f>IFERROR(VLOOKUP(J50,DATOS!$J$65:$K$68,2,FALSE),"SIN PARO")</f>
        <v>SIN PARO</v>
      </c>
      <c r="L50" s="6"/>
    </row>
    <row r="51" spans="1:12" ht="16.5" customHeight="1" x14ac:dyDescent="0.2">
      <c r="A51" s="49" t="s">
        <v>43</v>
      </c>
      <c r="B51" s="20" t="s">
        <v>301</v>
      </c>
      <c r="C51" s="58"/>
      <c r="D51" s="20" t="str">
        <f>IFERROR(VLOOKUP(C51,DATOS!$E$2:$F$200,2,FALSE),"Sin Datos")</f>
        <v>Sin Datos</v>
      </c>
      <c r="E51" s="58"/>
      <c r="F51" s="52"/>
      <c r="G51" s="52"/>
      <c r="H51" s="52"/>
      <c r="I51" s="29"/>
      <c r="J51" s="24"/>
      <c r="K51" s="20" t="str">
        <f>IFERROR(VLOOKUP(J51,DATOS!$J$65:$K$68,2,FALSE),"SIN PARO")</f>
        <v>SIN PARO</v>
      </c>
      <c r="L51" s="6"/>
    </row>
    <row r="52" spans="1:12" ht="16.5" customHeight="1" x14ac:dyDescent="0.2">
      <c r="A52" s="49" t="s">
        <v>43</v>
      </c>
      <c r="B52" s="20" t="s">
        <v>301</v>
      </c>
      <c r="C52" s="58"/>
      <c r="D52" s="20" t="str">
        <f>IFERROR(VLOOKUP(C52,DATOS!$E$2:$F$200,2,FALSE),"Sin Datos")</f>
        <v>Sin Datos</v>
      </c>
      <c r="E52" s="58"/>
      <c r="F52" s="52"/>
      <c r="G52" s="52"/>
      <c r="H52" s="52"/>
      <c r="I52" s="29"/>
      <c r="J52" s="24"/>
      <c r="K52" s="20" t="str">
        <f>IFERROR(VLOOKUP(J52,DATOS!$J$65:$K$68,2,FALSE),"SIN PARO")</f>
        <v>SIN PARO</v>
      </c>
      <c r="L52" s="6"/>
    </row>
    <row r="53" spans="1:12" ht="16.5" customHeight="1" x14ac:dyDescent="0.2">
      <c r="A53" s="49" t="s">
        <v>43</v>
      </c>
      <c r="B53" s="20" t="s">
        <v>301</v>
      </c>
      <c r="C53" s="58"/>
      <c r="D53" s="20" t="str">
        <f>IFERROR(VLOOKUP(C53,DATOS!$E$2:$F$200,2,FALSE),"Sin Datos")</f>
        <v>Sin Datos</v>
      </c>
      <c r="E53" s="58"/>
      <c r="F53" s="52"/>
      <c r="G53" s="52"/>
      <c r="H53" s="52"/>
      <c r="I53" s="29"/>
      <c r="J53" s="24"/>
      <c r="K53" s="20" t="str">
        <f>IFERROR(VLOOKUP(J53,DATOS!$J$65:$K$68,2,FALSE),"SIN PARO")</f>
        <v>SIN PARO</v>
      </c>
      <c r="L53" s="6"/>
    </row>
    <row r="54" spans="1:12" ht="16.5" customHeight="1" x14ac:dyDescent="0.2">
      <c r="A54" s="49" t="s">
        <v>43</v>
      </c>
      <c r="B54" s="20" t="s">
        <v>301</v>
      </c>
      <c r="C54" s="58"/>
      <c r="D54" s="20" t="str">
        <f>IFERROR(VLOOKUP(C54,DATOS!$E$2:$F$200,2,FALSE),"Sin Datos")</f>
        <v>Sin Datos</v>
      </c>
      <c r="E54" s="58"/>
      <c r="F54" s="52"/>
      <c r="G54" s="52"/>
      <c r="H54" s="52"/>
      <c r="I54" s="29"/>
      <c r="J54" s="24"/>
      <c r="K54" s="20" t="str">
        <f>IFERROR(VLOOKUP(J54,DATOS!$J$65:$K$68,2,FALSE),"SIN PARO")</f>
        <v>SIN PARO</v>
      </c>
      <c r="L54" s="6"/>
    </row>
    <row r="55" spans="1:12" ht="16.5" customHeight="1" x14ac:dyDescent="0.2">
      <c r="A55" s="50" t="s">
        <v>43</v>
      </c>
      <c r="B55" s="20" t="s">
        <v>301</v>
      </c>
      <c r="C55" s="58"/>
      <c r="D55" s="20" t="str">
        <f>IFERROR(VLOOKUP(C55,DATOS!$E$2:$F$200,2,FALSE),"Sin Datos")</f>
        <v>Sin Datos</v>
      </c>
      <c r="E55" s="58"/>
      <c r="F55" s="52"/>
      <c r="G55" s="52"/>
      <c r="H55" s="52"/>
      <c r="I55" s="29"/>
      <c r="J55" s="24"/>
      <c r="K55" s="20" t="str">
        <f>IFERROR(VLOOKUP(J55,DATOS!$J$65:$K$68,2,FALSE),"SIN PARO")</f>
        <v>SIN PARO</v>
      </c>
      <c r="L55" s="6"/>
    </row>
    <row r="56" spans="1:12" ht="16.5" customHeight="1" thickBot="1" x14ac:dyDescent="0.25">
      <c r="A56" s="44" t="s">
        <v>43</v>
      </c>
      <c r="B56" s="20" t="s">
        <v>301</v>
      </c>
      <c r="C56" s="59"/>
      <c r="D56" s="21" t="str">
        <f>IFERROR(VLOOKUP(C56,DATOS!$E$2:$F$200,2,FALSE),"Sin Datos")</f>
        <v>Sin Datos</v>
      </c>
      <c r="E56" s="59"/>
      <c r="F56" s="53"/>
      <c r="G56" s="53"/>
      <c r="H56" s="53"/>
      <c r="I56" s="38"/>
      <c r="J56" s="37"/>
      <c r="K56" s="21" t="str">
        <f>IFERROR(VLOOKUP(J56,DATOS!$J$65:$K$68,2,FALSE),"SIN PARO")</f>
        <v>SIN PARO</v>
      </c>
      <c r="L56" s="5"/>
    </row>
    <row r="57" spans="1:12" ht="16.5" customHeight="1" x14ac:dyDescent="0.2">
      <c r="A57" s="43" t="s">
        <v>44</v>
      </c>
      <c r="B57" s="19" t="s">
        <v>44</v>
      </c>
      <c r="C57" s="57"/>
      <c r="D57" s="19" t="str">
        <f>IFERROR(VLOOKUP(C57,DATOS!$E$2:$F$200,2,FALSE),"Sin Datos")</f>
        <v>Sin Datos</v>
      </c>
      <c r="E57" s="57"/>
      <c r="F57" s="51"/>
      <c r="G57" s="51"/>
      <c r="H57" s="51"/>
      <c r="I57" s="39"/>
      <c r="J57" s="17"/>
      <c r="K57" s="19" t="str">
        <f>IFERROR(VLOOKUP(J57,DATOS!$J$65:$K$68,2,FALSE),"SIN PARO")</f>
        <v>SIN PARO</v>
      </c>
      <c r="L57" s="4"/>
    </row>
    <row r="58" spans="1:12" ht="16.5" customHeight="1" x14ac:dyDescent="0.2">
      <c r="A58" s="44" t="s">
        <v>44</v>
      </c>
      <c r="B58" s="20" t="s">
        <v>44</v>
      </c>
      <c r="C58" s="58"/>
      <c r="D58" s="20" t="str">
        <f>IFERROR(VLOOKUP(C58,DATOS!$E$2:$F$200,2,FALSE),"Sin Datos")</f>
        <v>Sin Datos</v>
      </c>
      <c r="E58" s="58"/>
      <c r="F58" s="52"/>
      <c r="G58" s="52"/>
      <c r="H58" s="52"/>
      <c r="I58" s="29"/>
      <c r="J58" s="24"/>
      <c r="K58" s="20" t="str">
        <f>IFERROR(VLOOKUP(J58,DATOS!$J$65:$K$68,2,FALSE),"SIN PARO")</f>
        <v>SIN PARO</v>
      </c>
      <c r="L58" s="6"/>
    </row>
    <row r="59" spans="1:12" ht="16.5" customHeight="1" x14ac:dyDescent="0.2">
      <c r="A59" s="44" t="s">
        <v>44</v>
      </c>
      <c r="B59" s="20" t="s">
        <v>44</v>
      </c>
      <c r="C59" s="58"/>
      <c r="D59" s="20" t="str">
        <f>IFERROR(VLOOKUP(C59,DATOS!$E$2:$F$200,2,FALSE),"Sin Datos")</f>
        <v>Sin Datos</v>
      </c>
      <c r="E59" s="58"/>
      <c r="F59" s="52"/>
      <c r="G59" s="52"/>
      <c r="H59" s="52"/>
      <c r="I59" s="29"/>
      <c r="J59" s="24"/>
      <c r="K59" s="20" t="str">
        <f>IFERROR(VLOOKUP(J59,DATOS!$J$65:$K$68,2,FALSE),"SIN PARO")</f>
        <v>SIN PARO</v>
      </c>
      <c r="L59" s="6"/>
    </row>
    <row r="60" spans="1:12" ht="16.5" customHeight="1" thickBot="1" x14ac:dyDescent="0.25">
      <c r="A60" s="45" t="s">
        <v>44</v>
      </c>
      <c r="B60" s="21" t="s">
        <v>44</v>
      </c>
      <c r="C60" s="59"/>
      <c r="D60" s="21" t="str">
        <f>IFERROR(VLOOKUP(C60,DATOS!$E$2:$F$200,2,FALSE),"Sin Datos")</f>
        <v>Sin Datos</v>
      </c>
      <c r="E60" s="59"/>
      <c r="F60" s="53"/>
      <c r="G60" s="53"/>
      <c r="H60" s="53"/>
      <c r="I60" s="38"/>
      <c r="J60" s="37"/>
      <c r="K60" s="21" t="str">
        <f>IFERROR(VLOOKUP(J60,DATOS!$J$65:$K$68,2,FALSE),"SIN PARO")</f>
        <v>SIN PARO</v>
      </c>
      <c r="L60" s="5"/>
    </row>
  </sheetData>
  <mergeCells count="4">
    <mergeCell ref="A1:L1"/>
    <mergeCell ref="C6:D6"/>
    <mergeCell ref="J6:K6"/>
    <mergeCell ref="H6:I6"/>
  </mergeCell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DATOS!$A$2:$A$4</xm:f>
          </x14:formula1>
          <xm:sqref>E6</xm:sqref>
        </x14:dataValidation>
        <x14:dataValidation type="list" allowBlank="1" showInputMessage="1" showErrorMessage="1">
          <x14:formula1>
            <xm:f>DATOS!$C$2:$C$7</xm:f>
          </x14:formula1>
          <xm:sqref>J6</xm:sqref>
        </x14:dataValidation>
        <x14:dataValidation type="list" allowBlank="1" showInputMessage="1" showErrorMessage="1">
          <x14:formula1>
            <xm:f>DATOS!$H$2:$H$29</xm:f>
          </x14:formula1>
          <xm:sqref>E9:E60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53"/>
  <sheetViews>
    <sheetView workbookViewId="0">
      <selection activeCell="A2" sqref="A2:P53"/>
    </sheetView>
  </sheetViews>
  <sheetFormatPr baseColWidth="10" defaultRowHeight="15" x14ac:dyDescent="0.25"/>
  <cols>
    <col min="1" max="1" width="22" style="3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</cols>
  <sheetData>
    <row r="1" spans="1:16" x14ac:dyDescent="0.25">
      <c r="A1" s="3" t="s">
        <v>2</v>
      </c>
      <c r="B1" t="s">
        <v>34</v>
      </c>
      <c r="C1" t="s">
        <v>35</v>
      </c>
      <c r="D1" t="s">
        <v>3</v>
      </c>
      <c r="E1" t="s">
        <v>4</v>
      </c>
      <c r="F1" t="s">
        <v>5</v>
      </c>
      <c r="G1" t="s">
        <v>289</v>
      </c>
      <c r="H1" t="s">
        <v>36</v>
      </c>
      <c r="I1" t="s">
        <v>6</v>
      </c>
      <c r="J1" t="s">
        <v>37</v>
      </c>
      <c r="K1" t="s">
        <v>8</v>
      </c>
      <c r="L1" t="s">
        <v>9</v>
      </c>
      <c r="M1" t="s">
        <v>39</v>
      </c>
      <c r="N1" t="s">
        <v>292</v>
      </c>
      <c r="O1" t="s">
        <v>38</v>
      </c>
      <c r="P1" t="s">
        <v>40</v>
      </c>
    </row>
    <row r="2" spans="1:16" x14ac:dyDescent="0.25">
      <c r="A2" s="3">
        <v>44379.436486574072</v>
      </c>
      <c r="C2" t="s">
        <v>1</v>
      </c>
      <c r="D2" t="s">
        <v>31</v>
      </c>
      <c r="E2" t="s">
        <v>11</v>
      </c>
      <c r="F2" t="s">
        <v>12</v>
      </c>
      <c r="G2">
        <v>129</v>
      </c>
      <c r="H2" t="s">
        <v>176</v>
      </c>
      <c r="I2">
        <v>1004525</v>
      </c>
      <c r="J2">
        <v>800</v>
      </c>
      <c r="K2">
        <v>35</v>
      </c>
      <c r="L2">
        <v>80</v>
      </c>
      <c r="O2" t="s">
        <v>308</v>
      </c>
    </row>
    <row r="3" spans="1:16" x14ac:dyDescent="0.25">
      <c r="A3" s="3">
        <v>44379.436486574072</v>
      </c>
      <c r="C3" t="s">
        <v>1</v>
      </c>
      <c r="D3" t="s">
        <v>31</v>
      </c>
      <c r="E3" t="s">
        <v>11</v>
      </c>
      <c r="F3" t="s">
        <v>12</v>
      </c>
      <c r="H3" t="s">
        <v>309</v>
      </c>
      <c r="O3" t="s">
        <v>308</v>
      </c>
    </row>
    <row r="4" spans="1:16" x14ac:dyDescent="0.25">
      <c r="A4" s="3">
        <v>44379.436486574072</v>
      </c>
      <c r="C4" t="s">
        <v>1</v>
      </c>
      <c r="D4" t="s">
        <v>31</v>
      </c>
      <c r="E4" t="s">
        <v>11</v>
      </c>
      <c r="F4" t="s">
        <v>13</v>
      </c>
      <c r="G4">
        <v>129</v>
      </c>
      <c r="H4" t="s">
        <v>176</v>
      </c>
      <c r="I4" t="s">
        <v>284</v>
      </c>
      <c r="J4">
        <v>700</v>
      </c>
      <c r="K4">
        <v>50</v>
      </c>
      <c r="L4">
        <v>0</v>
      </c>
      <c r="O4" t="s">
        <v>308</v>
      </c>
    </row>
    <row r="5" spans="1:16" x14ac:dyDescent="0.25">
      <c r="A5" s="3">
        <v>44379.436486574072</v>
      </c>
      <c r="C5" t="s">
        <v>1</v>
      </c>
      <c r="D5" t="s">
        <v>31</v>
      </c>
      <c r="E5" t="s">
        <v>11</v>
      </c>
      <c r="F5" t="s">
        <v>13</v>
      </c>
      <c r="H5" t="s">
        <v>309</v>
      </c>
      <c r="O5" t="s">
        <v>308</v>
      </c>
    </row>
    <row r="6" spans="1:16" x14ac:dyDescent="0.25">
      <c r="A6" s="3">
        <v>44379.436486574072</v>
      </c>
      <c r="C6" t="s">
        <v>1</v>
      </c>
      <c r="D6" t="s">
        <v>31</v>
      </c>
      <c r="E6" t="s">
        <v>294</v>
      </c>
      <c r="F6" t="s">
        <v>14</v>
      </c>
      <c r="G6">
        <v>84</v>
      </c>
      <c r="H6" t="s">
        <v>131</v>
      </c>
      <c r="I6" t="s">
        <v>284</v>
      </c>
      <c r="J6">
        <v>624</v>
      </c>
      <c r="K6">
        <v>0</v>
      </c>
      <c r="L6">
        <v>3</v>
      </c>
      <c r="O6" t="s">
        <v>308</v>
      </c>
    </row>
    <row r="7" spans="1:16" x14ac:dyDescent="0.25">
      <c r="A7" s="3">
        <v>44379.436486574072</v>
      </c>
      <c r="C7" t="s">
        <v>1</v>
      </c>
      <c r="D7" t="s">
        <v>31</v>
      </c>
      <c r="E7" t="s">
        <v>294</v>
      </c>
      <c r="F7" t="s">
        <v>14</v>
      </c>
      <c r="H7" t="s">
        <v>309</v>
      </c>
      <c r="O7" t="s">
        <v>308</v>
      </c>
    </row>
    <row r="8" spans="1:16" x14ac:dyDescent="0.25">
      <c r="A8" s="3">
        <v>44379.436486574072</v>
      </c>
      <c r="C8" t="s">
        <v>1</v>
      </c>
      <c r="D8" t="s">
        <v>31</v>
      </c>
      <c r="E8" t="s">
        <v>294</v>
      </c>
      <c r="F8" t="s">
        <v>15</v>
      </c>
      <c r="G8">
        <v>75</v>
      </c>
      <c r="H8" t="s">
        <v>122</v>
      </c>
      <c r="I8">
        <v>1004525</v>
      </c>
      <c r="J8">
        <v>940</v>
      </c>
      <c r="K8">
        <v>0</v>
      </c>
      <c r="L8">
        <v>1</v>
      </c>
      <c r="N8" t="s">
        <v>307</v>
      </c>
      <c r="O8" t="s">
        <v>268</v>
      </c>
      <c r="P8" t="s">
        <v>325</v>
      </c>
    </row>
    <row r="9" spans="1:16" x14ac:dyDescent="0.25">
      <c r="A9" s="3">
        <v>44379.436486574072</v>
      </c>
      <c r="C9" t="s">
        <v>1</v>
      </c>
      <c r="D9" t="s">
        <v>31</v>
      </c>
      <c r="E9" t="s">
        <v>294</v>
      </c>
      <c r="F9" t="s">
        <v>15</v>
      </c>
      <c r="H9" t="s">
        <v>309</v>
      </c>
      <c r="O9" t="s">
        <v>308</v>
      </c>
    </row>
    <row r="10" spans="1:16" x14ac:dyDescent="0.25">
      <c r="A10" s="3">
        <v>44379.436486574072</v>
      </c>
      <c r="C10" t="s">
        <v>1</v>
      </c>
      <c r="D10" t="s">
        <v>31</v>
      </c>
      <c r="E10" t="s">
        <v>294</v>
      </c>
      <c r="F10" t="s">
        <v>16</v>
      </c>
      <c r="G10">
        <v>67</v>
      </c>
      <c r="H10" t="s">
        <v>114</v>
      </c>
      <c r="I10">
        <v>1008912</v>
      </c>
      <c r="J10">
        <v>400</v>
      </c>
      <c r="L10">
        <v>2</v>
      </c>
      <c r="O10" t="s">
        <v>308</v>
      </c>
    </row>
    <row r="11" spans="1:16" x14ac:dyDescent="0.25">
      <c r="A11" s="3">
        <v>44379.436486574072</v>
      </c>
      <c r="C11" t="s">
        <v>1</v>
      </c>
      <c r="D11" t="s">
        <v>31</v>
      </c>
      <c r="E11" t="s">
        <v>294</v>
      </c>
      <c r="F11" t="s">
        <v>16</v>
      </c>
      <c r="G11">
        <v>67</v>
      </c>
      <c r="H11" t="s">
        <v>114</v>
      </c>
      <c r="I11">
        <v>1007955</v>
      </c>
      <c r="J11">
        <v>400</v>
      </c>
      <c r="L11">
        <v>0</v>
      </c>
      <c r="O11" t="s">
        <v>308</v>
      </c>
    </row>
    <row r="12" spans="1:16" x14ac:dyDescent="0.25">
      <c r="A12" s="3">
        <v>44379.436486574072</v>
      </c>
      <c r="C12" t="s">
        <v>1</v>
      </c>
      <c r="D12" t="s">
        <v>31</v>
      </c>
      <c r="E12" t="s">
        <v>17</v>
      </c>
      <c r="F12" t="s">
        <v>18</v>
      </c>
      <c r="G12">
        <v>128</v>
      </c>
      <c r="H12" t="s">
        <v>175</v>
      </c>
      <c r="I12" t="s">
        <v>284</v>
      </c>
      <c r="J12">
        <v>442</v>
      </c>
      <c r="K12">
        <v>1</v>
      </c>
      <c r="L12">
        <v>42</v>
      </c>
      <c r="O12" t="s">
        <v>308</v>
      </c>
    </row>
    <row r="13" spans="1:16" x14ac:dyDescent="0.25">
      <c r="A13" s="3">
        <v>44379.436486574072</v>
      </c>
      <c r="C13" t="s">
        <v>1</v>
      </c>
      <c r="D13" t="s">
        <v>31</v>
      </c>
      <c r="E13" t="s">
        <v>17</v>
      </c>
      <c r="F13" t="s">
        <v>18</v>
      </c>
      <c r="H13" t="s">
        <v>309</v>
      </c>
      <c r="O13" t="s">
        <v>308</v>
      </c>
    </row>
    <row r="14" spans="1:16" x14ac:dyDescent="0.25">
      <c r="A14" s="3">
        <v>44379.436486574072</v>
      </c>
      <c r="C14" t="s">
        <v>1</v>
      </c>
      <c r="D14" t="s">
        <v>31</v>
      </c>
      <c r="E14" t="s">
        <v>17</v>
      </c>
      <c r="F14" t="s">
        <v>19</v>
      </c>
      <c r="G14">
        <v>7</v>
      </c>
      <c r="H14" t="s">
        <v>54</v>
      </c>
      <c r="I14">
        <v>1004525</v>
      </c>
      <c r="J14">
        <v>377</v>
      </c>
      <c r="K14">
        <v>4</v>
      </c>
      <c r="L14">
        <v>7</v>
      </c>
      <c r="O14" t="s">
        <v>308</v>
      </c>
    </row>
    <row r="15" spans="1:16" x14ac:dyDescent="0.25">
      <c r="A15" s="3">
        <v>44379.436486574072</v>
      </c>
      <c r="C15" t="s">
        <v>1</v>
      </c>
      <c r="D15" t="s">
        <v>31</v>
      </c>
      <c r="E15" t="s">
        <v>17</v>
      </c>
      <c r="F15" t="s">
        <v>19</v>
      </c>
      <c r="H15" t="s">
        <v>309</v>
      </c>
      <c r="O15" t="s">
        <v>308</v>
      </c>
    </row>
    <row r="16" spans="1:16" x14ac:dyDescent="0.25">
      <c r="A16" s="3">
        <v>44379.436486574072</v>
      </c>
      <c r="C16" t="s">
        <v>1</v>
      </c>
      <c r="D16" t="s">
        <v>31</v>
      </c>
      <c r="E16" t="s">
        <v>17</v>
      </c>
      <c r="F16" t="s">
        <v>20</v>
      </c>
      <c r="G16">
        <v>148</v>
      </c>
      <c r="H16" t="s">
        <v>195</v>
      </c>
      <c r="I16">
        <v>1007955</v>
      </c>
      <c r="J16">
        <v>365</v>
      </c>
      <c r="K16">
        <v>0</v>
      </c>
      <c r="L16">
        <v>4</v>
      </c>
      <c r="O16" t="s">
        <v>308</v>
      </c>
    </row>
    <row r="17" spans="1:16" x14ac:dyDescent="0.25">
      <c r="A17" s="3">
        <v>44379.436486574072</v>
      </c>
      <c r="C17" t="s">
        <v>1</v>
      </c>
      <c r="D17" t="s">
        <v>31</v>
      </c>
      <c r="E17" t="s">
        <v>17</v>
      </c>
      <c r="F17" t="s">
        <v>20</v>
      </c>
      <c r="H17" t="s">
        <v>309</v>
      </c>
      <c r="O17" t="s">
        <v>308</v>
      </c>
    </row>
    <row r="18" spans="1:16" x14ac:dyDescent="0.25">
      <c r="A18" s="3">
        <v>44379.436486574072</v>
      </c>
      <c r="C18" t="s">
        <v>1</v>
      </c>
      <c r="D18" t="s">
        <v>31</v>
      </c>
      <c r="E18" t="s">
        <v>17</v>
      </c>
      <c r="F18" t="s">
        <v>21</v>
      </c>
      <c r="H18" t="s">
        <v>309</v>
      </c>
      <c r="O18" t="s">
        <v>308</v>
      </c>
    </row>
    <row r="19" spans="1:16" x14ac:dyDescent="0.25">
      <c r="A19" s="3">
        <v>44379.436486574072</v>
      </c>
      <c r="C19" t="s">
        <v>1</v>
      </c>
      <c r="D19" t="s">
        <v>31</v>
      </c>
      <c r="E19" t="s">
        <v>17</v>
      </c>
      <c r="F19" t="s">
        <v>21</v>
      </c>
      <c r="H19" t="s">
        <v>309</v>
      </c>
      <c r="O19" t="s">
        <v>308</v>
      </c>
    </row>
    <row r="20" spans="1:16" x14ac:dyDescent="0.25">
      <c r="A20" s="3">
        <v>44379.436486574072</v>
      </c>
      <c r="C20" t="s">
        <v>1</v>
      </c>
      <c r="D20" t="s">
        <v>31</v>
      </c>
      <c r="E20" t="s">
        <v>17</v>
      </c>
      <c r="F20" t="s">
        <v>22</v>
      </c>
      <c r="H20" t="s">
        <v>309</v>
      </c>
      <c r="O20" t="s">
        <v>308</v>
      </c>
    </row>
    <row r="21" spans="1:16" x14ac:dyDescent="0.25">
      <c r="A21" s="3">
        <v>44379.436486574072</v>
      </c>
      <c r="C21" t="s">
        <v>1</v>
      </c>
      <c r="D21" t="s">
        <v>31</v>
      </c>
      <c r="E21" t="s">
        <v>17</v>
      </c>
      <c r="F21" t="s">
        <v>22</v>
      </c>
      <c r="H21" t="s">
        <v>309</v>
      </c>
      <c r="O21" t="s">
        <v>308</v>
      </c>
    </row>
    <row r="22" spans="1:16" x14ac:dyDescent="0.25">
      <c r="A22" s="3">
        <v>44379.436486574072</v>
      </c>
      <c r="C22" t="s">
        <v>1</v>
      </c>
      <c r="D22" t="s">
        <v>31</v>
      </c>
      <c r="E22" t="s">
        <v>17</v>
      </c>
      <c r="F22" t="s">
        <v>23</v>
      </c>
      <c r="G22">
        <v>173</v>
      </c>
      <c r="H22" t="s">
        <v>322</v>
      </c>
      <c r="I22" t="s">
        <v>284</v>
      </c>
      <c r="J22">
        <v>365</v>
      </c>
      <c r="K22">
        <v>0</v>
      </c>
      <c r="L22">
        <v>15</v>
      </c>
      <c r="O22" t="s">
        <v>308</v>
      </c>
    </row>
    <row r="23" spans="1:16" x14ac:dyDescent="0.25">
      <c r="A23" s="3">
        <v>44379.436486574072</v>
      </c>
      <c r="C23" t="s">
        <v>1</v>
      </c>
      <c r="D23" t="s">
        <v>31</v>
      </c>
      <c r="E23" t="s">
        <v>17</v>
      </c>
      <c r="F23" t="s">
        <v>23</v>
      </c>
      <c r="H23" t="s">
        <v>309</v>
      </c>
      <c r="O23" t="s">
        <v>308</v>
      </c>
    </row>
    <row r="24" spans="1:16" x14ac:dyDescent="0.25">
      <c r="A24" s="3">
        <v>44379.436486574072</v>
      </c>
      <c r="C24" t="s">
        <v>1</v>
      </c>
      <c r="D24" t="s">
        <v>31</v>
      </c>
      <c r="E24" t="s">
        <v>17</v>
      </c>
      <c r="F24" t="s">
        <v>293</v>
      </c>
      <c r="H24" t="s">
        <v>309</v>
      </c>
      <c r="O24" t="s">
        <v>308</v>
      </c>
    </row>
    <row r="25" spans="1:16" x14ac:dyDescent="0.25">
      <c r="A25" s="3">
        <v>44379.436486574072</v>
      </c>
      <c r="C25" t="s">
        <v>1</v>
      </c>
      <c r="D25" t="s">
        <v>31</v>
      </c>
      <c r="E25" t="s">
        <v>17</v>
      </c>
      <c r="F25" t="s">
        <v>293</v>
      </c>
      <c r="H25" t="s">
        <v>309</v>
      </c>
      <c r="O25" t="s">
        <v>308</v>
      </c>
    </row>
    <row r="26" spans="1:16" x14ac:dyDescent="0.25">
      <c r="A26" s="3">
        <v>44379.436486574072</v>
      </c>
      <c r="C26" t="s">
        <v>1</v>
      </c>
      <c r="D26" t="s">
        <v>31</v>
      </c>
      <c r="E26" t="s">
        <v>295</v>
      </c>
      <c r="F26" t="s">
        <v>296</v>
      </c>
      <c r="H26" t="s">
        <v>309</v>
      </c>
      <c r="O26" t="s">
        <v>308</v>
      </c>
    </row>
    <row r="27" spans="1:16" x14ac:dyDescent="0.25">
      <c r="A27" s="3">
        <v>44379.436486574072</v>
      </c>
      <c r="C27" t="s">
        <v>1</v>
      </c>
      <c r="D27" t="s">
        <v>31</v>
      </c>
      <c r="E27" t="s">
        <v>295</v>
      </c>
      <c r="F27" t="s">
        <v>296</v>
      </c>
      <c r="H27" t="s">
        <v>309</v>
      </c>
      <c r="O27" t="s">
        <v>308</v>
      </c>
    </row>
    <row r="28" spans="1:16" x14ac:dyDescent="0.25">
      <c r="A28" s="3">
        <v>44379.436486574072</v>
      </c>
      <c r="C28" t="s">
        <v>1</v>
      </c>
      <c r="D28" t="s">
        <v>31</v>
      </c>
      <c r="E28" t="s">
        <v>295</v>
      </c>
      <c r="F28" t="s">
        <v>297</v>
      </c>
      <c r="H28" t="s">
        <v>309</v>
      </c>
      <c r="O28" t="s">
        <v>308</v>
      </c>
    </row>
    <row r="29" spans="1:16" x14ac:dyDescent="0.25">
      <c r="A29" s="3">
        <v>44379.436486574072</v>
      </c>
      <c r="C29" t="s">
        <v>1</v>
      </c>
      <c r="D29" t="s">
        <v>31</v>
      </c>
      <c r="E29" t="s">
        <v>295</v>
      </c>
      <c r="F29" t="s">
        <v>297</v>
      </c>
      <c r="H29" t="s">
        <v>309</v>
      </c>
      <c r="O29" t="s">
        <v>308</v>
      </c>
    </row>
    <row r="30" spans="1:16" x14ac:dyDescent="0.25">
      <c r="A30" s="3">
        <v>44379.436486574072</v>
      </c>
      <c r="C30" t="s">
        <v>1</v>
      </c>
      <c r="D30" t="s">
        <v>31</v>
      </c>
      <c r="E30" t="s">
        <v>41</v>
      </c>
      <c r="F30" t="s">
        <v>41</v>
      </c>
      <c r="G30">
        <v>58</v>
      </c>
      <c r="H30" t="s">
        <v>105</v>
      </c>
      <c r="I30" t="s">
        <v>284</v>
      </c>
      <c r="J30">
        <v>55</v>
      </c>
      <c r="K30">
        <v>0</v>
      </c>
      <c r="M30">
        <v>65</v>
      </c>
      <c r="N30" t="s">
        <v>307</v>
      </c>
      <c r="O30" t="s">
        <v>268</v>
      </c>
      <c r="P30" t="s">
        <v>326</v>
      </c>
    </row>
    <row r="31" spans="1:16" x14ac:dyDescent="0.25">
      <c r="A31" s="3">
        <v>44379.436486574072</v>
      </c>
      <c r="C31" t="s">
        <v>1</v>
      </c>
      <c r="D31" t="s">
        <v>31</v>
      </c>
      <c r="E31" t="s">
        <v>41</v>
      </c>
      <c r="F31" t="s">
        <v>41</v>
      </c>
      <c r="G31">
        <v>58</v>
      </c>
      <c r="H31" t="s">
        <v>105</v>
      </c>
      <c r="I31">
        <v>1004525</v>
      </c>
      <c r="J31">
        <v>7</v>
      </c>
      <c r="K31">
        <v>0</v>
      </c>
      <c r="O31" t="s">
        <v>308</v>
      </c>
    </row>
    <row r="32" spans="1:16" x14ac:dyDescent="0.25">
      <c r="A32" s="3">
        <v>44379.436486574072</v>
      </c>
      <c r="C32" t="s">
        <v>1</v>
      </c>
      <c r="D32" t="s">
        <v>31</v>
      </c>
      <c r="E32" t="s">
        <v>45</v>
      </c>
      <c r="F32" t="s">
        <v>45</v>
      </c>
      <c r="G32">
        <v>154</v>
      </c>
      <c r="H32" t="s">
        <v>201</v>
      </c>
      <c r="I32" t="s">
        <v>284</v>
      </c>
      <c r="J32">
        <v>326</v>
      </c>
      <c r="K32">
        <v>1</v>
      </c>
      <c r="O32" t="s">
        <v>308</v>
      </c>
    </row>
    <row r="33" spans="1:15" x14ac:dyDescent="0.25">
      <c r="A33" s="3">
        <v>44379.436486574072</v>
      </c>
      <c r="C33" t="s">
        <v>1</v>
      </c>
      <c r="D33" t="s">
        <v>31</v>
      </c>
      <c r="E33" t="s">
        <v>45</v>
      </c>
      <c r="F33" t="s">
        <v>45</v>
      </c>
      <c r="G33">
        <v>82</v>
      </c>
      <c r="H33" t="s">
        <v>129</v>
      </c>
      <c r="I33" t="s">
        <v>284</v>
      </c>
      <c r="J33">
        <v>326</v>
      </c>
      <c r="O33" t="s">
        <v>308</v>
      </c>
    </row>
    <row r="34" spans="1:15" x14ac:dyDescent="0.25">
      <c r="A34" s="3">
        <v>44379.436486574072</v>
      </c>
      <c r="C34" t="s">
        <v>1</v>
      </c>
      <c r="D34" t="s">
        <v>31</v>
      </c>
      <c r="E34" t="s">
        <v>45</v>
      </c>
      <c r="F34" t="s">
        <v>45</v>
      </c>
      <c r="G34">
        <v>154</v>
      </c>
      <c r="H34" t="s">
        <v>201</v>
      </c>
      <c r="I34">
        <v>1007955</v>
      </c>
      <c r="J34">
        <v>132</v>
      </c>
      <c r="O34" t="s">
        <v>308</v>
      </c>
    </row>
    <row r="35" spans="1:15" x14ac:dyDescent="0.25">
      <c r="A35" s="3">
        <v>44379.436486574072</v>
      </c>
      <c r="C35" t="s">
        <v>1</v>
      </c>
      <c r="D35" t="s">
        <v>31</v>
      </c>
      <c r="E35" t="s">
        <v>45</v>
      </c>
      <c r="F35" t="s">
        <v>45</v>
      </c>
      <c r="G35">
        <v>82</v>
      </c>
      <c r="H35" t="s">
        <v>129</v>
      </c>
      <c r="I35">
        <v>1007955</v>
      </c>
      <c r="J35">
        <v>133</v>
      </c>
      <c r="O35" t="s">
        <v>308</v>
      </c>
    </row>
    <row r="36" spans="1:15" x14ac:dyDescent="0.25">
      <c r="A36" s="3">
        <v>44379.436486574072</v>
      </c>
      <c r="C36" t="s">
        <v>1</v>
      </c>
      <c r="D36" t="s">
        <v>31</v>
      </c>
      <c r="E36" t="s">
        <v>45</v>
      </c>
      <c r="F36" t="s">
        <v>45</v>
      </c>
      <c r="H36" t="s">
        <v>309</v>
      </c>
      <c r="O36" t="s">
        <v>308</v>
      </c>
    </row>
    <row r="37" spans="1:15" x14ac:dyDescent="0.25">
      <c r="A37" s="3">
        <v>44379.436486574072</v>
      </c>
      <c r="C37" t="s">
        <v>1</v>
      </c>
      <c r="D37" t="s">
        <v>31</v>
      </c>
      <c r="E37" t="s">
        <v>45</v>
      </c>
      <c r="F37" t="s">
        <v>45</v>
      </c>
      <c r="H37" t="s">
        <v>309</v>
      </c>
      <c r="O37" t="s">
        <v>308</v>
      </c>
    </row>
    <row r="38" spans="1:15" x14ac:dyDescent="0.25">
      <c r="A38" s="3">
        <v>44379.436486574072</v>
      </c>
      <c r="C38" t="s">
        <v>1</v>
      </c>
      <c r="D38" t="s">
        <v>31</v>
      </c>
      <c r="E38" t="s">
        <v>45</v>
      </c>
      <c r="F38" t="s">
        <v>45</v>
      </c>
      <c r="H38" t="s">
        <v>309</v>
      </c>
      <c r="O38" t="s">
        <v>308</v>
      </c>
    </row>
    <row r="39" spans="1:15" x14ac:dyDescent="0.25">
      <c r="A39" s="3">
        <v>44379.436486574072</v>
      </c>
      <c r="C39" t="s">
        <v>1</v>
      </c>
      <c r="D39" t="s">
        <v>31</v>
      </c>
      <c r="E39" t="s">
        <v>45</v>
      </c>
      <c r="F39" t="s">
        <v>45</v>
      </c>
      <c r="H39" t="s">
        <v>309</v>
      </c>
      <c r="O39" t="s">
        <v>308</v>
      </c>
    </row>
    <row r="40" spans="1:15" x14ac:dyDescent="0.25">
      <c r="A40" s="3">
        <v>44379.436486574072</v>
      </c>
      <c r="C40" t="s">
        <v>1</v>
      </c>
      <c r="D40" t="s">
        <v>31</v>
      </c>
      <c r="E40" t="s">
        <v>45</v>
      </c>
      <c r="F40" t="s">
        <v>45</v>
      </c>
      <c r="H40" t="s">
        <v>309</v>
      </c>
      <c r="O40" t="s">
        <v>308</v>
      </c>
    </row>
    <row r="41" spans="1:15" x14ac:dyDescent="0.25">
      <c r="A41" s="3">
        <v>44379.436486574072</v>
      </c>
      <c r="C41" t="s">
        <v>1</v>
      </c>
      <c r="D41" t="s">
        <v>31</v>
      </c>
      <c r="E41" t="s">
        <v>45</v>
      </c>
      <c r="F41" t="s">
        <v>45</v>
      </c>
      <c r="H41" t="s">
        <v>309</v>
      </c>
      <c r="O41" t="s">
        <v>308</v>
      </c>
    </row>
    <row r="42" spans="1:15" x14ac:dyDescent="0.25">
      <c r="A42" s="3">
        <v>44379.436486574072</v>
      </c>
      <c r="C42" t="s">
        <v>1</v>
      </c>
      <c r="D42" t="s">
        <v>31</v>
      </c>
      <c r="E42" t="s">
        <v>42</v>
      </c>
      <c r="F42" t="s">
        <v>42</v>
      </c>
      <c r="H42" t="s">
        <v>309</v>
      </c>
      <c r="O42" t="s">
        <v>308</v>
      </c>
    </row>
    <row r="43" spans="1:15" x14ac:dyDescent="0.25">
      <c r="A43" s="3">
        <v>44379.436486574072</v>
      </c>
      <c r="C43" t="s">
        <v>1</v>
      </c>
      <c r="D43" t="s">
        <v>31</v>
      </c>
      <c r="E43" t="s">
        <v>43</v>
      </c>
      <c r="F43" t="s">
        <v>301</v>
      </c>
      <c r="H43" t="s">
        <v>309</v>
      </c>
      <c r="O43" t="s">
        <v>308</v>
      </c>
    </row>
    <row r="44" spans="1:15" x14ac:dyDescent="0.25">
      <c r="A44" s="3">
        <v>44379.436486574072</v>
      </c>
      <c r="C44" t="s">
        <v>1</v>
      </c>
      <c r="D44" t="s">
        <v>31</v>
      </c>
      <c r="E44" t="s">
        <v>43</v>
      </c>
      <c r="F44" t="s">
        <v>301</v>
      </c>
      <c r="H44" t="s">
        <v>309</v>
      </c>
      <c r="O44" t="s">
        <v>308</v>
      </c>
    </row>
    <row r="45" spans="1:15" x14ac:dyDescent="0.25">
      <c r="A45" s="3">
        <v>44379.436486574072</v>
      </c>
      <c r="C45" t="s">
        <v>1</v>
      </c>
      <c r="D45" t="s">
        <v>31</v>
      </c>
      <c r="E45" t="s">
        <v>43</v>
      </c>
      <c r="F45" t="s">
        <v>301</v>
      </c>
      <c r="H45" t="s">
        <v>309</v>
      </c>
      <c r="O45" t="s">
        <v>308</v>
      </c>
    </row>
    <row r="46" spans="1:15" x14ac:dyDescent="0.25">
      <c r="A46" s="3">
        <v>44379.436486574072</v>
      </c>
      <c r="C46" t="s">
        <v>1</v>
      </c>
      <c r="D46" t="s">
        <v>31</v>
      </c>
      <c r="E46" t="s">
        <v>43</v>
      </c>
      <c r="F46" t="s">
        <v>301</v>
      </c>
      <c r="H46" t="s">
        <v>309</v>
      </c>
      <c r="O46" t="s">
        <v>308</v>
      </c>
    </row>
    <row r="47" spans="1:15" x14ac:dyDescent="0.25">
      <c r="A47" s="3">
        <v>44379.436486574072</v>
      </c>
      <c r="C47" t="s">
        <v>1</v>
      </c>
      <c r="D47" t="s">
        <v>31</v>
      </c>
      <c r="E47" t="s">
        <v>43</v>
      </c>
      <c r="F47" t="s">
        <v>301</v>
      </c>
      <c r="H47" t="s">
        <v>309</v>
      </c>
      <c r="O47" t="s">
        <v>308</v>
      </c>
    </row>
    <row r="48" spans="1:15" x14ac:dyDescent="0.25">
      <c r="A48" s="3">
        <v>44379.436486574072</v>
      </c>
      <c r="C48" t="s">
        <v>1</v>
      </c>
      <c r="D48" t="s">
        <v>31</v>
      </c>
      <c r="E48" t="s">
        <v>43</v>
      </c>
      <c r="F48" t="s">
        <v>301</v>
      </c>
      <c r="H48" t="s">
        <v>309</v>
      </c>
      <c r="O48" t="s">
        <v>308</v>
      </c>
    </row>
    <row r="49" spans="1:15" x14ac:dyDescent="0.25">
      <c r="A49" s="3">
        <v>44379.436486574072</v>
      </c>
      <c r="C49" t="s">
        <v>1</v>
      </c>
      <c r="D49" t="s">
        <v>31</v>
      </c>
      <c r="E49" t="s">
        <v>43</v>
      </c>
      <c r="F49" t="s">
        <v>301</v>
      </c>
      <c r="H49" t="s">
        <v>309</v>
      </c>
      <c r="O49" t="s">
        <v>308</v>
      </c>
    </row>
    <row r="50" spans="1:15" x14ac:dyDescent="0.25">
      <c r="A50" s="3">
        <v>44379.436486574072</v>
      </c>
      <c r="C50" t="s">
        <v>1</v>
      </c>
      <c r="D50" t="s">
        <v>31</v>
      </c>
      <c r="E50" t="s">
        <v>44</v>
      </c>
      <c r="F50" t="s">
        <v>44</v>
      </c>
      <c r="H50" t="s">
        <v>309</v>
      </c>
      <c r="O50" t="s">
        <v>308</v>
      </c>
    </row>
    <row r="51" spans="1:15" x14ac:dyDescent="0.25">
      <c r="A51" s="3">
        <v>44379.436486574072</v>
      </c>
      <c r="C51" t="s">
        <v>1</v>
      </c>
      <c r="D51" t="s">
        <v>31</v>
      </c>
      <c r="E51" t="s">
        <v>44</v>
      </c>
      <c r="F51" t="s">
        <v>44</v>
      </c>
      <c r="H51" t="s">
        <v>309</v>
      </c>
      <c r="O51" t="s">
        <v>308</v>
      </c>
    </row>
    <row r="52" spans="1:15" x14ac:dyDescent="0.25">
      <c r="A52" s="3">
        <v>44379.436486574072</v>
      </c>
      <c r="C52" t="s">
        <v>1</v>
      </c>
      <c r="D52" t="s">
        <v>31</v>
      </c>
      <c r="E52" t="s">
        <v>44</v>
      </c>
      <c r="F52" t="s">
        <v>44</v>
      </c>
      <c r="H52" t="s">
        <v>309</v>
      </c>
      <c r="O52" t="s">
        <v>308</v>
      </c>
    </row>
    <row r="53" spans="1:15" x14ac:dyDescent="0.25">
      <c r="A53" s="3">
        <v>44379.436486574072</v>
      </c>
      <c r="C53" t="s">
        <v>1</v>
      </c>
      <c r="D53" t="s">
        <v>31</v>
      </c>
      <c r="E53" t="s">
        <v>44</v>
      </c>
      <c r="F53" t="s">
        <v>44</v>
      </c>
      <c r="H53" t="s">
        <v>309</v>
      </c>
      <c r="O53" t="s">
        <v>308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Gonzalez, David</cp:lastModifiedBy>
  <dcterms:created xsi:type="dcterms:W3CDTF">2021-07-01T16:57:07Z</dcterms:created>
  <dcterms:modified xsi:type="dcterms:W3CDTF">2021-07-02T15:28:51Z</dcterms:modified>
</cp:coreProperties>
</file>